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DangrafWeb\Dangraf\"/>
    </mc:Choice>
  </mc:AlternateContent>
  <xr:revisionPtr revIDLastSave="0" documentId="13_ncr:1_{40FF85D1-9261-4AE7-B028-A1625E6E2EA8}" xr6:coauthVersionLast="47" xr6:coauthVersionMax="47" xr10:uidLastSave="{00000000-0000-0000-0000-000000000000}"/>
  <bookViews>
    <workbookView xWindow="-120" yWindow="-120" windowWidth="29040" windowHeight="15840" xr2:uid="{747CE885-B6A3-45C7-97AF-D8131B80E533}"/>
  </bookViews>
  <sheets>
    <sheet name="Nominas" sheetId="1" r:id="rId1"/>
    <sheet name="Hoja1" sheetId="2" r:id="rId2"/>
  </sheets>
  <definedNames>
    <definedName name="_xlnm._FilterDatabase" localSheetId="0" hidden="1">Nominas!$B$1:$G$26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" l="1"/>
  <c r="D26" i="1"/>
  <c r="E13" i="1"/>
  <c r="G13" i="1" s="1"/>
  <c r="G11" i="1"/>
  <c r="D8" i="1"/>
  <c r="E8" i="1"/>
  <c r="G7" i="1"/>
  <c r="G6" i="1"/>
  <c r="G5" i="1"/>
  <c r="G4" i="1"/>
  <c r="F3" i="1"/>
  <c r="G2" i="1"/>
  <c r="G14" i="1" l="1"/>
  <c r="G35" i="1" s="1"/>
  <c r="G18" i="1" l="1"/>
  <c r="G19" i="1"/>
  <c r="G22" i="1" s="1"/>
  <c r="G24" i="1" s="1"/>
  <c r="G33" i="1"/>
</calcChain>
</file>

<file path=xl/sharedStrings.xml><?xml version="1.0" encoding="utf-8"?>
<sst xmlns="http://schemas.openxmlformats.org/spreadsheetml/2006/main" count="85" uniqueCount="81">
  <si>
    <t>EMPRESA</t>
  </si>
  <si>
    <t>TRABAJADOR/A</t>
  </si>
  <si>
    <t>Nombre: Escuela Infantil Jardín de Flores</t>
  </si>
  <si>
    <t>Nombre:</t>
  </si>
  <si>
    <t>Paula</t>
  </si>
  <si>
    <t>Domicilio: Calle de José Calvo, 4, Madrid</t>
  </si>
  <si>
    <t>DNI:</t>
  </si>
  <si>
    <t>CIF: S2816001H</t>
  </si>
  <si>
    <t>Número afiliación a la S.S:</t>
  </si>
  <si>
    <t>Categoría o grupo profesional:</t>
  </si>
  <si>
    <t>Grupo de cotización:</t>
  </si>
  <si>
    <t>Fecha de ingreso en la empresa:</t>
  </si>
  <si>
    <t>Periodo de liquidación:</t>
  </si>
  <si>
    <t>Total días:</t>
  </si>
  <si>
    <t>MES-30</t>
  </si>
  <si>
    <t>DEVENGOS</t>
  </si>
  <si>
    <t>CANTIDAD</t>
  </si>
  <si>
    <t>PRECIO</t>
  </si>
  <si>
    <t>TOTALES</t>
  </si>
  <si>
    <t>Percepciones salariales:</t>
  </si>
  <si>
    <t>Salario base</t>
  </si>
  <si>
    <t>Complemento de ajuste</t>
  </si>
  <si>
    <t>Antigüedad</t>
  </si>
  <si>
    <t>TOTAL DEVENGADO</t>
  </si>
  <si>
    <t>DEDUCCIONES</t>
  </si>
  <si>
    <t>Aportación del trabajador a las cotizaciones de la Seguridad Social:</t>
  </si>
  <si>
    <t>Contingencias comunes</t>
  </si>
  <si>
    <t>Retenciones a cuenta de IRPF</t>
  </si>
  <si>
    <t>Otras deducciones</t>
  </si>
  <si>
    <t>TOTAL A DEDUCIR</t>
  </si>
  <si>
    <t>LIQUIDO A PERCIBIR</t>
  </si>
  <si>
    <t>Fecha de ingreso de la nómina:</t>
  </si>
  <si>
    <t>Entidad financiera (banco):</t>
  </si>
  <si>
    <t>Santander</t>
  </si>
  <si>
    <t>Número de cuenta:</t>
  </si>
  <si>
    <t>**************001</t>
  </si>
  <si>
    <t>DETERMINACIÓN BASES COTIZACIÓN A LA SEGURIDAD SOCIAL</t>
  </si>
  <si>
    <t>TOTAL BASE S.S.</t>
  </si>
  <si>
    <t>Base de cotización de contingencias profesionales</t>
  </si>
  <si>
    <t>Base de horas extras</t>
  </si>
  <si>
    <t>Base sujeta a retención del IRPF</t>
  </si>
  <si>
    <t>Nombre</t>
  </si>
  <si>
    <t>Apellidos</t>
  </si>
  <si>
    <t>Dirección</t>
  </si>
  <si>
    <t>DNI</t>
  </si>
  <si>
    <t>Seg. Social</t>
  </si>
  <si>
    <t>Cat. grupo</t>
  </si>
  <si>
    <t>cotización</t>
  </si>
  <si>
    <t>mes-año</t>
  </si>
  <si>
    <t>inicio fecha</t>
  </si>
  <si>
    <t>fin fecha</t>
  </si>
  <si>
    <t>Cobro</t>
  </si>
  <si>
    <t>fecha incorporación</t>
  </si>
  <si>
    <t>Complemento</t>
  </si>
  <si>
    <t>Díaz Martín</t>
  </si>
  <si>
    <t>Calle Estrella 7</t>
  </si>
  <si>
    <t>98765432A</t>
  </si>
  <si>
    <t>Luis</t>
  </si>
  <si>
    <t>González Reyes</t>
  </si>
  <si>
    <t>Calle Árbol 10</t>
  </si>
  <si>
    <t>87654321B</t>
  </si>
  <si>
    <t>Sara</t>
  </si>
  <si>
    <t>Martín Pérez</t>
  </si>
  <si>
    <t>Calle Sol 3</t>
  </si>
  <si>
    <t>76543210C</t>
  </si>
  <si>
    <t>David</t>
  </si>
  <si>
    <t>Fernández Lopez</t>
  </si>
  <si>
    <t>Calle Rosa 5</t>
  </si>
  <si>
    <t>65432109D</t>
  </si>
  <si>
    <t>Raquel</t>
  </si>
  <si>
    <t>Sánchez González</t>
  </si>
  <si>
    <t>Calle Luna 2</t>
  </si>
  <si>
    <t>54321098E</t>
  </si>
  <si>
    <t>Antonio</t>
  </si>
  <si>
    <t>López Martínez</t>
  </si>
  <si>
    <t>Calle Mar 18</t>
  </si>
  <si>
    <t>43210987F</t>
  </si>
  <si>
    <t>Elena</t>
  </si>
  <si>
    <t>Ruiz García</t>
  </si>
  <si>
    <t>Calle Verde 21</t>
  </si>
  <si>
    <t>32109876G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</si>
</sst>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m\-yyyy"/>
    <numFmt numFmtId="165" formatCode="d/mm/yyyy"/>
    <numFmt numFmtId="166" formatCode="#,##0.00\ [$€-1]"/>
    <numFmt numFmtId="167" formatCode="0.0%"/>
    <numFmt numFmtId="168" formatCode="mmmm\-d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  <family val="2"/>
    </font>
    <font>
      <sz val="8"/>
      <color theme="1"/>
      <name val="Arial"/>
    </font>
    <font>
      <sz val="10"/>
      <color theme="1"/>
      <name val="Arial"/>
    </font>
    <font>
      <i/>
      <sz val="10"/>
      <color theme="1"/>
      <name val="Arial"/>
    </font>
    <font>
      <i/>
      <sz val="10"/>
      <color theme="1"/>
      <name val="Arial"/>
      <family val="2"/>
    </font>
    <font>
      <i/>
      <sz val="10"/>
      <color rgb="FF000000"/>
      <name val="Arial"/>
    </font>
    <font>
      <i/>
      <sz val="8"/>
      <color theme="1"/>
      <name val="Arial"/>
    </font>
    <font>
      <sz val="8"/>
      <color theme="1"/>
      <name val="Arial"/>
      <family val="2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5" fillId="0" borderId="0" xfId="0" applyFont="1"/>
    <xf numFmtId="0" fontId="1" fillId="2" borderId="4" xfId="0" applyFont="1" applyFill="1" applyBorder="1" applyAlignment="1">
      <alignment horizontal="center"/>
    </xf>
    <xf numFmtId="0" fontId="4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4" xfId="0" applyFont="1" applyFill="1" applyBorder="1"/>
    <xf numFmtId="0" fontId="5" fillId="2" borderId="0" xfId="0" applyFont="1" applyFill="1"/>
    <xf numFmtId="166" fontId="6" fillId="2" borderId="14" xfId="0" applyNumberFormat="1" applyFont="1" applyFill="1" applyBorder="1"/>
    <xf numFmtId="0" fontId="4" fillId="2" borderId="7" xfId="0" applyFont="1" applyFill="1" applyBorder="1"/>
    <xf numFmtId="0" fontId="11" fillId="0" borderId="0" xfId="0" applyFont="1"/>
    <xf numFmtId="0" fontId="12" fillId="0" borderId="0" xfId="0" applyFont="1"/>
    <xf numFmtId="0" fontId="5" fillId="0" borderId="0" xfId="0" applyFont="1" applyAlignment="1">
      <alignment horizontal="right"/>
    </xf>
    <xf numFmtId="0" fontId="3" fillId="0" borderId="0" xfId="0" applyFont="1"/>
    <xf numFmtId="168" fontId="11" fillId="0" borderId="0" xfId="0" applyNumberFormat="1" applyFont="1"/>
    <xf numFmtId="14" fontId="11" fillId="0" borderId="0" xfId="0" applyNumberFormat="1" applyFont="1"/>
    <xf numFmtId="14" fontId="0" fillId="0" borderId="0" xfId="0" applyNumberFormat="1"/>
    <xf numFmtId="0" fontId="5" fillId="3" borderId="4" xfId="0" applyFont="1" applyFill="1" applyBorder="1"/>
    <xf numFmtId="0" fontId="4" fillId="3" borderId="0" xfId="0" applyFont="1" applyFill="1"/>
    <xf numFmtId="0" fontId="4" fillId="3" borderId="5" xfId="0" applyFont="1" applyFill="1" applyBorder="1"/>
    <xf numFmtId="0" fontId="0" fillId="3" borderId="0" xfId="0" applyFill="1"/>
    <xf numFmtId="0" fontId="4" fillId="3" borderId="8" xfId="0" applyFont="1" applyFill="1" applyBorder="1"/>
    <xf numFmtId="0" fontId="5" fillId="3" borderId="6" xfId="0" applyFont="1" applyFill="1" applyBorder="1"/>
    <xf numFmtId="0" fontId="5" fillId="3" borderId="0" xfId="0" applyFont="1" applyFill="1"/>
    <xf numFmtId="0" fontId="5" fillId="3" borderId="7" xfId="0" applyFont="1" applyFill="1" applyBorder="1"/>
    <xf numFmtId="0" fontId="5" fillId="3" borderId="7" xfId="0" applyFont="1" applyFill="1" applyBorder="1" applyAlignment="1">
      <alignment horizontal="center"/>
    </xf>
    <xf numFmtId="0" fontId="4" fillId="3" borderId="10" xfId="0" applyFont="1" applyFill="1" applyBorder="1"/>
    <xf numFmtId="14" fontId="5" fillId="3" borderId="11" xfId="0" applyNumberFormat="1" applyFont="1" applyFill="1" applyBorder="1" applyAlignment="1">
      <alignment horizontal="center"/>
    </xf>
    <xf numFmtId="0" fontId="1" fillId="3" borderId="4" xfId="0" applyFont="1" applyFill="1" applyBorder="1"/>
    <xf numFmtId="0" fontId="4" fillId="3" borderId="7" xfId="0" applyFont="1" applyFill="1" applyBorder="1"/>
    <xf numFmtId="0" fontId="7" fillId="3" borderId="0" xfId="0" applyFont="1" applyFill="1"/>
    <xf numFmtId="166" fontId="7" fillId="3" borderId="0" xfId="0" applyNumberFormat="1" applyFont="1" applyFill="1"/>
    <xf numFmtId="166" fontId="7" fillId="3" borderId="7" xfId="0" applyNumberFormat="1" applyFont="1" applyFill="1" applyBorder="1"/>
    <xf numFmtId="0" fontId="7" fillId="3" borderId="7" xfId="0" applyFont="1" applyFill="1" applyBorder="1"/>
    <xf numFmtId="0" fontId="5" fillId="3" borderId="12" xfId="0" applyFont="1" applyFill="1" applyBorder="1"/>
    <xf numFmtId="164" fontId="5" fillId="3" borderId="2" xfId="0" applyNumberFormat="1" applyFont="1" applyFill="1" applyBorder="1" applyAlignment="1">
      <alignment horizontal="center"/>
    </xf>
    <xf numFmtId="165" fontId="6" fillId="3" borderId="2" xfId="0" applyNumberFormat="1" applyFont="1" applyFill="1" applyBorder="1"/>
    <xf numFmtId="0" fontId="5" fillId="3" borderId="2" xfId="0" applyFont="1" applyFill="1" applyBorder="1"/>
    <xf numFmtId="0" fontId="5" fillId="3" borderId="13" xfId="0" applyFont="1" applyFill="1" applyBorder="1"/>
    <xf numFmtId="0" fontId="1" fillId="3" borderId="12" xfId="0" applyFont="1" applyFill="1" applyBorder="1"/>
    <xf numFmtId="0" fontId="4" fillId="3" borderId="2" xfId="0" applyFont="1" applyFill="1" applyBorder="1"/>
    <xf numFmtId="166" fontId="6" fillId="3" borderId="13" xfId="0" applyNumberFormat="1" applyFont="1" applyFill="1" applyBorder="1"/>
    <xf numFmtId="0" fontId="5" fillId="3" borderId="0" xfId="0" applyFont="1" applyFill="1" applyAlignment="1">
      <alignment horizontal="center"/>
    </xf>
    <xf numFmtId="167" fontId="6" fillId="3" borderId="0" xfId="0" applyNumberFormat="1" applyFont="1" applyFill="1"/>
    <xf numFmtId="166" fontId="6" fillId="3" borderId="7" xfId="0" applyNumberFormat="1" applyFont="1" applyFill="1" applyBorder="1"/>
    <xf numFmtId="0" fontId="8" fillId="3" borderId="0" xfId="0" applyFont="1" applyFill="1"/>
    <xf numFmtId="0" fontId="9" fillId="3" borderId="0" xfId="0" applyFont="1" applyFill="1"/>
    <xf numFmtId="0" fontId="9" fillId="3" borderId="7" xfId="0" applyFont="1" applyFill="1" applyBorder="1"/>
    <xf numFmtId="0" fontId="9" fillId="3" borderId="2" xfId="0" applyFont="1" applyFill="1" applyBorder="1"/>
    <xf numFmtId="14" fontId="4" fillId="3" borderId="16" xfId="0" applyNumberFormat="1" applyFont="1" applyFill="1" applyBorder="1" applyAlignment="1">
      <alignment horizontal="center"/>
    </xf>
    <xf numFmtId="0" fontId="4" fillId="3" borderId="16" xfId="0" applyFont="1" applyFill="1" applyBorder="1"/>
    <xf numFmtId="0" fontId="10" fillId="3" borderId="0" xfId="0" applyFont="1" applyFill="1" applyAlignment="1">
      <alignment horizontal="center"/>
    </xf>
    <xf numFmtId="166" fontId="5" fillId="3" borderId="7" xfId="0" applyNumberFormat="1" applyFont="1" applyFill="1" applyBorder="1"/>
    <xf numFmtId="0" fontId="4" fillId="3" borderId="20" xfId="0" applyFont="1" applyFill="1" applyBorder="1"/>
    <xf numFmtId="166" fontId="6" fillId="3" borderId="21" xfId="0" applyNumberFormat="1" applyFont="1" applyFill="1" applyBorder="1"/>
    <xf numFmtId="0" fontId="5" fillId="3" borderId="19" xfId="0" applyFont="1" applyFill="1" applyBorder="1"/>
    <xf numFmtId="0" fontId="5" fillId="3" borderId="20" xfId="0" applyFont="1" applyFill="1" applyBorder="1"/>
    <xf numFmtId="0" fontId="5" fillId="3" borderId="18" xfId="0" applyFont="1" applyFill="1" applyBorder="1"/>
    <xf numFmtId="0" fontId="5" fillId="3" borderId="10" xfId="0" applyFont="1" applyFill="1" applyBorder="1"/>
    <xf numFmtId="0" fontId="5" fillId="3" borderId="4" xfId="0" applyFont="1" applyFill="1" applyBorder="1"/>
    <xf numFmtId="0" fontId="5" fillId="3" borderId="0" xfId="0" applyFont="1" applyFill="1"/>
    <xf numFmtId="0" fontId="5" fillId="3" borderId="9" xfId="0" applyFont="1" applyFill="1" applyBorder="1"/>
    <xf numFmtId="0" fontId="5" fillId="3" borderId="6" xfId="0" applyFont="1" applyFill="1" applyBorder="1"/>
    <xf numFmtId="0" fontId="5" fillId="2" borderId="0" xfId="0" applyFont="1" applyFill="1" applyAlignment="1">
      <alignment horizontal="center"/>
    </xf>
    <xf numFmtId="0" fontId="2" fillId="0" borderId="0" xfId="0" applyFont="1"/>
    <xf numFmtId="0" fontId="5" fillId="3" borderId="15" xfId="0" applyFont="1" applyFill="1" applyBorder="1"/>
    <xf numFmtId="0" fontId="5" fillId="3" borderId="16" xfId="0" applyFont="1" applyFill="1" applyBorder="1"/>
    <xf numFmtId="0" fontId="5" fillId="3" borderId="16" xfId="0" applyFont="1" applyFill="1" applyBorder="1" applyAlignment="1">
      <alignment horizontal="center" vertical="center"/>
    </xf>
    <xf numFmtId="0" fontId="2" fillId="3" borderId="17" xfId="0" applyFont="1" applyFill="1" applyBorder="1"/>
    <xf numFmtId="0" fontId="0" fillId="3" borderId="0" xfId="0" applyFill="1"/>
    <xf numFmtId="0" fontId="2" fillId="3" borderId="7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1" fillId="2" borderId="4" xfId="0" applyFont="1" applyFill="1" applyBorder="1"/>
    <xf numFmtId="0" fontId="3" fillId="3" borderId="4" xfId="0" applyFont="1" applyFill="1" applyBorder="1"/>
    <xf numFmtId="0" fontId="3" fillId="3" borderId="0" xfId="0" applyFont="1" applyFill="1"/>
    <xf numFmtId="0" fontId="3" fillId="3" borderId="5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3" borderId="4" xfId="0" applyFont="1" applyFill="1" applyBorder="1"/>
    <xf numFmtId="0" fontId="1" fillId="3" borderId="12" xfId="0" applyFont="1" applyFill="1" applyBorder="1"/>
    <xf numFmtId="0" fontId="2" fillId="3" borderId="2" xfId="0" applyFont="1" applyFill="1" applyBorder="1"/>
    <xf numFmtId="0" fontId="5" fillId="3" borderId="0" xfId="0" applyFont="1" applyFill="1" applyAlignment="1">
      <alignment horizontal="center"/>
    </xf>
    <xf numFmtId="0" fontId="3" fillId="3" borderId="15" xfId="0" applyFont="1" applyFill="1" applyBorder="1"/>
    <xf numFmtId="0" fontId="3" fillId="3" borderId="16" xfId="0" applyFont="1" applyFill="1" applyBorder="1"/>
    <xf numFmtId="0" fontId="3" fillId="3" borderId="2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209551</xdr:colOff>
      <xdr:row>25</xdr:row>
      <xdr:rowOff>57151</xdr:rowOff>
    </xdr:from>
    <xdr:ext cx="733424" cy="457200"/>
    <xdr:pic>
      <xdr:nvPicPr>
        <xdr:cNvPr id="3" name="image1.jpg">
          <a:extLst>
            <a:ext uri="{FF2B5EF4-FFF2-40B4-BE49-F238E27FC236}">
              <a16:creationId xmlns:a16="http://schemas.microsoft.com/office/drawing/2014/main" id="{C9DA41C3-DE57-4EDF-9EFA-6BF29B4AA2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10226" y="4819651"/>
          <a:ext cx="733424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B2D7-3C41-4218-BB09-32346E3954EB}">
  <dimension ref="B1:G35"/>
  <sheetViews>
    <sheetView tabSelected="1" workbookViewId="0">
      <selection activeCell="F2" sqref="F2"/>
    </sheetView>
  </sheetViews>
  <sheetFormatPr baseColWidth="10" defaultRowHeight="15" x14ac:dyDescent="0.25"/>
  <cols>
    <col min="2" max="2" width="20" bestFit="1" customWidth="1"/>
    <col min="3" max="3" width="14.7109375" bestFit="1" customWidth="1"/>
    <col min="4" max="4" width="11.5703125" customWidth="1"/>
    <col min="5" max="5" width="23.28515625" bestFit="1" customWidth="1"/>
    <col min="6" max="6" width="10.28515625" customWidth="1"/>
    <col min="7" max="7" width="20.42578125" bestFit="1" customWidth="1"/>
  </cols>
  <sheetData>
    <row r="1" spans="2:7" x14ac:dyDescent="0.25">
      <c r="B1" s="77" t="s">
        <v>0</v>
      </c>
      <c r="C1" s="78"/>
      <c r="D1" s="79"/>
      <c r="E1" s="77" t="s">
        <v>1</v>
      </c>
      <c r="F1" s="78"/>
      <c r="G1" s="79"/>
    </row>
    <row r="2" spans="2:7" x14ac:dyDescent="0.25">
      <c r="B2" s="84" t="s">
        <v>2</v>
      </c>
      <c r="C2" s="85"/>
      <c r="D2" s="86"/>
      <c r="E2" s="22" t="s">
        <v>3</v>
      </c>
      <c r="F2" s="42" t="s">
        <v>73</v>
      </c>
      <c r="G2" s="25" t="str">
        <f>VLOOKUP(F2,Hoja1!B2:H8,2,FALSE)</f>
        <v>López Martínez</v>
      </c>
    </row>
    <row r="3" spans="2:7" x14ac:dyDescent="0.25">
      <c r="B3" s="74" t="s">
        <v>5</v>
      </c>
      <c r="C3" s="75"/>
      <c r="D3" s="76"/>
      <c r="E3" s="22" t="s">
        <v>6</v>
      </c>
      <c r="F3" s="42" t="str">
        <f>VLOOKUP(F2,Hoja1!B2:H8,4,FALSE)</f>
        <v>43210987F</v>
      </c>
      <c r="G3" s="25"/>
    </row>
    <row r="4" spans="2:7" x14ac:dyDescent="0.25">
      <c r="B4" s="17" t="s">
        <v>7</v>
      </c>
      <c r="C4" s="18"/>
      <c r="D4" s="19"/>
      <c r="E4" s="22" t="s">
        <v>8</v>
      </c>
      <c r="F4" s="18"/>
      <c r="G4" s="25">
        <f>VLOOKUP(F2,Hoja1!B2:H8,5,FALSE)</f>
        <v>569831704</v>
      </c>
    </row>
    <row r="5" spans="2:7" x14ac:dyDescent="0.25">
      <c r="B5" s="59"/>
      <c r="C5" s="69"/>
      <c r="D5" s="19"/>
      <c r="E5" s="62" t="s">
        <v>9</v>
      </c>
      <c r="F5" s="60"/>
      <c r="G5" s="25">
        <f>VLOOKUP(F2,Hoja1!B2:H8,6,FALSE)</f>
        <v>4</v>
      </c>
    </row>
    <row r="6" spans="2:7" x14ac:dyDescent="0.25">
      <c r="B6" s="17"/>
      <c r="C6" s="20"/>
      <c r="D6" s="19"/>
      <c r="E6" s="62" t="s">
        <v>10</v>
      </c>
      <c r="F6" s="60"/>
      <c r="G6" s="25">
        <f>VLOOKUP(F2,Hoja1!B2:H8,7,FALSE)</f>
        <v>4</v>
      </c>
    </row>
    <row r="7" spans="2:7" x14ac:dyDescent="0.25">
      <c r="B7" s="17"/>
      <c r="C7" s="20"/>
      <c r="D7" s="21"/>
      <c r="E7" s="61" t="s">
        <v>11</v>
      </c>
      <c r="F7" s="58"/>
      <c r="G7" s="27">
        <f>VLOOKUP(F2,Hoja1!B2:M8,12,FALSE)</f>
        <v>44331</v>
      </c>
    </row>
    <row r="8" spans="2:7" x14ac:dyDescent="0.25">
      <c r="B8" s="34" t="s">
        <v>12</v>
      </c>
      <c r="C8" s="35">
        <v>45682</v>
      </c>
      <c r="D8" s="36">
        <f>VLOOKUP(C8,Hoja1!I2:K13,2,FALSE)</f>
        <v>45658</v>
      </c>
      <c r="E8" s="36">
        <f>VLOOKUP(C8,Hoja1!I2:K13,3,FALSE)</f>
        <v>45688</v>
      </c>
      <c r="F8" s="37" t="s">
        <v>13</v>
      </c>
      <c r="G8" s="38" t="s">
        <v>14</v>
      </c>
    </row>
    <row r="9" spans="2:7" x14ac:dyDescent="0.25">
      <c r="B9" s="2" t="s">
        <v>15</v>
      </c>
      <c r="C9" s="3"/>
      <c r="D9" s="3"/>
      <c r="E9" s="4" t="s">
        <v>16</v>
      </c>
      <c r="F9" s="4" t="s">
        <v>17</v>
      </c>
      <c r="G9" s="5" t="s">
        <v>18</v>
      </c>
    </row>
    <row r="10" spans="2:7" x14ac:dyDescent="0.25">
      <c r="B10" s="80" t="s">
        <v>19</v>
      </c>
      <c r="C10" s="69"/>
      <c r="D10" s="18"/>
      <c r="E10" s="18"/>
      <c r="F10" s="18"/>
      <c r="G10" s="29"/>
    </row>
    <row r="11" spans="2:7" x14ac:dyDescent="0.25">
      <c r="B11" s="59" t="s">
        <v>20</v>
      </c>
      <c r="C11" s="69"/>
      <c r="D11" s="69"/>
      <c r="E11" s="30"/>
      <c r="F11" s="31"/>
      <c r="G11" s="32">
        <f>VLOOKUP(F2,Hoja1!B2:N8,13,FALSE)</f>
        <v>1510</v>
      </c>
    </row>
    <row r="12" spans="2:7" x14ac:dyDescent="0.25">
      <c r="B12" s="59" t="s">
        <v>21</v>
      </c>
      <c r="C12" s="69"/>
      <c r="D12" s="69"/>
      <c r="E12" s="30"/>
      <c r="F12" s="30"/>
      <c r="G12" s="33">
        <f>VLOOKUP(F2,Hoja1!B2:O8,14,FALSE)</f>
        <v>40</v>
      </c>
    </row>
    <row r="13" spans="2:7" x14ac:dyDescent="0.25">
      <c r="B13" s="17" t="s">
        <v>22</v>
      </c>
      <c r="C13" s="23"/>
      <c r="D13" s="23"/>
      <c r="E13" s="30">
        <f>VLOOKUP(F2,Hoja1!B2:P8,15,FALSE)</f>
        <v>1</v>
      </c>
      <c r="F13" s="30">
        <v>10</v>
      </c>
      <c r="G13" s="33">
        <f>E13*F13</f>
        <v>10</v>
      </c>
    </row>
    <row r="14" spans="2:7" x14ac:dyDescent="0.25">
      <c r="B14" s="81" t="s">
        <v>23</v>
      </c>
      <c r="C14" s="82"/>
      <c r="D14" s="40"/>
      <c r="E14" s="40"/>
      <c r="F14" s="40"/>
      <c r="G14" s="41">
        <f>SUM(G11:G13)</f>
        <v>1560</v>
      </c>
    </row>
    <row r="15" spans="2:7" x14ac:dyDescent="0.25">
      <c r="B15" s="17"/>
      <c r="C15" s="18"/>
      <c r="D15" s="18"/>
      <c r="E15" s="18"/>
      <c r="F15" s="18"/>
      <c r="G15" s="29"/>
    </row>
    <row r="16" spans="2:7" x14ac:dyDescent="0.25">
      <c r="B16" s="6" t="s">
        <v>24</v>
      </c>
      <c r="C16" s="3"/>
      <c r="D16" s="3"/>
      <c r="E16" s="4"/>
      <c r="F16" s="4"/>
      <c r="G16" s="5" t="s">
        <v>18</v>
      </c>
    </row>
    <row r="17" spans="2:7" x14ac:dyDescent="0.25">
      <c r="B17" s="80" t="s">
        <v>25</v>
      </c>
      <c r="C17" s="69"/>
      <c r="D17" s="69"/>
      <c r="E17" s="69"/>
      <c r="F17" s="69"/>
      <c r="G17" s="24"/>
    </row>
    <row r="18" spans="2:7" x14ac:dyDescent="0.25">
      <c r="B18" s="59" t="s">
        <v>26</v>
      </c>
      <c r="C18" s="60"/>
      <c r="D18" s="83"/>
      <c r="E18" s="69"/>
      <c r="F18" s="43">
        <v>4.7E-2</v>
      </c>
      <c r="G18" s="44">
        <f>(G14*F18)</f>
        <v>73.319999999999993</v>
      </c>
    </row>
    <row r="19" spans="2:7" x14ac:dyDescent="0.25">
      <c r="B19" s="59" t="s">
        <v>27</v>
      </c>
      <c r="C19" s="69"/>
      <c r="D19" s="69"/>
      <c r="E19" s="20"/>
      <c r="F19" s="43">
        <v>0.1487</v>
      </c>
      <c r="G19" s="44">
        <f>G14*F19</f>
        <v>231.97200000000001</v>
      </c>
    </row>
    <row r="20" spans="2:7" x14ac:dyDescent="0.25">
      <c r="B20" s="59" t="s">
        <v>28</v>
      </c>
      <c r="C20" s="60"/>
      <c r="D20" s="60"/>
      <c r="E20" s="20"/>
      <c r="F20" s="45"/>
      <c r="G20" s="44">
        <v>0</v>
      </c>
    </row>
    <row r="21" spans="2:7" x14ac:dyDescent="0.25">
      <c r="B21" s="17"/>
      <c r="C21" s="20"/>
      <c r="D21" s="20"/>
      <c r="E21" s="20"/>
      <c r="F21" s="46"/>
      <c r="G21" s="47"/>
    </row>
    <row r="22" spans="2:7" x14ac:dyDescent="0.25">
      <c r="B22" s="39" t="s">
        <v>29</v>
      </c>
      <c r="C22" s="37"/>
      <c r="D22" s="37"/>
      <c r="E22" s="37"/>
      <c r="F22" s="48"/>
      <c r="G22" s="41">
        <f>SUM(G19:G20)</f>
        <v>231.97200000000001</v>
      </c>
    </row>
    <row r="23" spans="2:7" x14ac:dyDescent="0.25">
      <c r="B23" s="17"/>
      <c r="C23" s="23"/>
      <c r="D23" s="23"/>
      <c r="E23" s="18"/>
      <c r="F23" s="18"/>
      <c r="G23" s="29"/>
    </row>
    <row r="24" spans="2:7" x14ac:dyDescent="0.25">
      <c r="B24" s="6" t="s">
        <v>30</v>
      </c>
      <c r="C24" s="7"/>
      <c r="D24" s="63"/>
      <c r="E24" s="64"/>
      <c r="F24" s="3"/>
      <c r="G24" s="8">
        <f>G14-G22</f>
        <v>1328.028</v>
      </c>
    </row>
    <row r="25" spans="2:7" x14ac:dyDescent="0.25">
      <c r="B25" s="17"/>
      <c r="C25" s="18"/>
      <c r="D25" s="18"/>
      <c r="E25" s="18"/>
      <c r="F25" s="18"/>
      <c r="G25" s="29"/>
    </row>
    <row r="26" spans="2:7" x14ac:dyDescent="0.25">
      <c r="B26" s="65" t="s">
        <v>31</v>
      </c>
      <c r="C26" s="66"/>
      <c r="D26" s="49">
        <f>VLOOKUP(C8,Hoja1!I2:L13,4,FALSE)</f>
        <v>45689</v>
      </c>
      <c r="E26" s="50"/>
      <c r="F26" s="67"/>
      <c r="G26" s="68"/>
    </row>
    <row r="27" spans="2:7" x14ac:dyDescent="0.25">
      <c r="B27" s="59" t="s">
        <v>32</v>
      </c>
      <c r="C27" s="60"/>
      <c r="D27" s="51" t="s">
        <v>33</v>
      </c>
      <c r="E27" s="18"/>
      <c r="F27" s="69"/>
      <c r="G27" s="70"/>
    </row>
    <row r="28" spans="2:7" x14ac:dyDescent="0.25">
      <c r="B28" s="57" t="s">
        <v>34</v>
      </c>
      <c r="C28" s="58"/>
      <c r="D28" s="26" t="s">
        <v>35</v>
      </c>
      <c r="E28" s="26"/>
      <c r="F28" s="71"/>
      <c r="G28" s="72"/>
    </row>
    <row r="29" spans="2:7" x14ac:dyDescent="0.25">
      <c r="B29" s="17"/>
      <c r="C29" s="18"/>
      <c r="D29" s="18"/>
      <c r="E29" s="18"/>
      <c r="F29" s="18"/>
      <c r="G29" s="29"/>
    </row>
    <row r="30" spans="2:7" x14ac:dyDescent="0.25">
      <c r="B30" s="73" t="s">
        <v>36</v>
      </c>
      <c r="C30" s="64"/>
      <c r="D30" s="64"/>
      <c r="E30" s="64"/>
      <c r="F30" s="64"/>
      <c r="G30" s="9"/>
    </row>
    <row r="31" spans="2:7" x14ac:dyDescent="0.25">
      <c r="B31" s="28" t="s">
        <v>37</v>
      </c>
      <c r="C31" s="18"/>
      <c r="D31" s="18"/>
      <c r="E31" s="18"/>
      <c r="F31" s="18"/>
      <c r="G31" s="52"/>
    </row>
    <row r="32" spans="2:7" x14ac:dyDescent="0.25">
      <c r="B32" s="17"/>
      <c r="C32" s="18"/>
      <c r="D32" s="18"/>
      <c r="E32" s="18"/>
      <c r="F32" s="18"/>
      <c r="G32" s="52"/>
    </row>
    <row r="33" spans="2:7" x14ac:dyDescent="0.25">
      <c r="B33" s="59" t="s">
        <v>38</v>
      </c>
      <c r="C33" s="60"/>
      <c r="D33" s="60"/>
      <c r="E33" s="60"/>
      <c r="F33" s="18"/>
      <c r="G33" s="44">
        <f>G14</f>
        <v>1560</v>
      </c>
    </row>
    <row r="34" spans="2:7" x14ac:dyDescent="0.25">
      <c r="B34" s="59" t="s">
        <v>39</v>
      </c>
      <c r="C34" s="60"/>
      <c r="D34" s="18"/>
      <c r="E34" s="18"/>
      <c r="F34" s="18"/>
      <c r="G34" s="52"/>
    </row>
    <row r="35" spans="2:7" ht="15.75" thickBot="1" x14ac:dyDescent="0.3">
      <c r="B35" s="55" t="s">
        <v>40</v>
      </c>
      <c r="C35" s="56"/>
      <c r="D35" s="56"/>
      <c r="E35" s="53"/>
      <c r="F35" s="53"/>
      <c r="G35" s="54">
        <f>G14</f>
        <v>1560</v>
      </c>
    </row>
  </sheetData>
  <mergeCells count="26">
    <mergeCell ref="B3:D3"/>
    <mergeCell ref="B27:C27"/>
    <mergeCell ref="B1:D1"/>
    <mergeCell ref="E1:G1"/>
    <mergeCell ref="B5:C5"/>
    <mergeCell ref="B10:C10"/>
    <mergeCell ref="B11:D11"/>
    <mergeCell ref="B14:C14"/>
    <mergeCell ref="B20:D20"/>
    <mergeCell ref="B17:F17"/>
    <mergeCell ref="B18:C18"/>
    <mergeCell ref="D18:E18"/>
    <mergeCell ref="B19:D19"/>
    <mergeCell ref="B2:D2"/>
    <mergeCell ref="B12:D12"/>
    <mergeCell ref="B35:D35"/>
    <mergeCell ref="B28:C28"/>
    <mergeCell ref="B34:C34"/>
    <mergeCell ref="E7:F7"/>
    <mergeCell ref="E5:F5"/>
    <mergeCell ref="E6:F6"/>
    <mergeCell ref="D24:E24"/>
    <mergeCell ref="B26:C26"/>
    <mergeCell ref="F26:G28"/>
    <mergeCell ref="B30:F30"/>
    <mergeCell ref="B33:E3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9780EE-9671-45BE-B0BC-3CBF82320E4A}">
          <x14:formula1>
            <xm:f>Hoja1!$B$2:$B$8</xm:f>
          </x14:formula1>
          <xm:sqref>F2</xm:sqref>
        </x14:dataValidation>
        <x14:dataValidation type="list" allowBlank="1" showInputMessage="1" showErrorMessage="1" xr:uid="{C1F47EB4-1E55-4C12-82B6-05161BF7F418}">
          <x14:formula1>
            <xm:f>Hoja1!$I$2:$I$13</xm:f>
          </x14:formula1>
          <xm:sqref>C8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2166-B5A2-48BA-A56B-848A73B5BD1E}">
  <dimension ref="A1:P13"/>
  <sheetViews>
    <sheetView workbookViewId="0">
      <selection activeCell="O3" sqref="O3"/>
    </sheetView>
  </sheetViews>
  <sheetFormatPr baseColWidth="10" defaultRowHeight="15" x14ac:dyDescent="0.25"/>
  <cols>
    <col min="3" max="3" width="16.85546875" bestFit="1" customWidth="1"/>
    <col min="4" max="4" width="13.5703125" bestFit="1" customWidth="1"/>
    <col min="9" max="9" width="12.28515625" bestFit="1" customWidth="1"/>
  </cols>
  <sheetData>
    <row r="1" spans="1:16" x14ac:dyDescent="0.25">
      <c r="B1" s="10" t="s">
        <v>41</v>
      </c>
      <c r="C1" s="10" t="s">
        <v>42</v>
      </c>
      <c r="D1" s="10" t="s">
        <v>43</v>
      </c>
      <c r="E1" s="10" t="s">
        <v>44</v>
      </c>
      <c r="F1" s="10" t="s">
        <v>45</v>
      </c>
      <c r="G1" s="10" t="s">
        <v>46</v>
      </c>
      <c r="H1" s="10" t="s">
        <v>47</v>
      </c>
      <c r="I1" s="10" t="s">
        <v>48</v>
      </c>
      <c r="J1" s="10" t="s">
        <v>49</v>
      </c>
      <c r="K1" s="10" t="s">
        <v>50</v>
      </c>
      <c r="L1" s="11" t="s">
        <v>51</v>
      </c>
      <c r="M1" s="11" t="s">
        <v>52</v>
      </c>
      <c r="N1" s="11" t="s">
        <v>20</v>
      </c>
      <c r="O1" s="11" t="s">
        <v>53</v>
      </c>
      <c r="P1" s="11" t="s">
        <v>22</v>
      </c>
    </row>
    <row r="2" spans="1:16" x14ac:dyDescent="0.25">
      <c r="A2" s="12">
        <v>1</v>
      </c>
      <c r="B2" s="13" t="s">
        <v>4</v>
      </c>
      <c r="C2" s="13" t="s">
        <v>54</v>
      </c>
      <c r="D2" s="1" t="s">
        <v>55</v>
      </c>
      <c r="E2" s="1" t="s">
        <v>56</v>
      </c>
      <c r="F2" s="12">
        <v>123456789</v>
      </c>
      <c r="G2" s="1">
        <v>2</v>
      </c>
      <c r="H2" s="1">
        <v>2</v>
      </c>
      <c r="I2" s="14">
        <v>45682</v>
      </c>
      <c r="J2" s="15">
        <v>45658</v>
      </c>
      <c r="K2" s="15">
        <v>45688</v>
      </c>
      <c r="L2" s="15">
        <v>45689</v>
      </c>
      <c r="M2" s="16">
        <v>44936</v>
      </c>
      <c r="N2">
        <v>1245</v>
      </c>
      <c r="O2">
        <v>50</v>
      </c>
      <c r="P2">
        <v>0</v>
      </c>
    </row>
    <row r="3" spans="1:16" x14ac:dyDescent="0.25">
      <c r="A3" s="12">
        <v>2</v>
      </c>
      <c r="B3" s="13" t="s">
        <v>57</v>
      </c>
      <c r="C3" s="1" t="s">
        <v>58</v>
      </c>
      <c r="D3" s="1" t="s">
        <v>59</v>
      </c>
      <c r="E3" s="1" t="s">
        <v>60</v>
      </c>
      <c r="F3" s="12">
        <v>234567890</v>
      </c>
      <c r="G3" s="1">
        <v>6</v>
      </c>
      <c r="H3" s="1">
        <v>5</v>
      </c>
      <c r="I3" s="14">
        <v>45713</v>
      </c>
      <c r="J3" s="15">
        <v>45689</v>
      </c>
      <c r="K3" s="15">
        <v>45716</v>
      </c>
      <c r="L3" s="15">
        <v>45717</v>
      </c>
      <c r="M3" s="16">
        <v>44809</v>
      </c>
      <c r="N3">
        <v>1400</v>
      </c>
      <c r="O3">
        <v>0</v>
      </c>
      <c r="P3">
        <v>0</v>
      </c>
    </row>
    <row r="4" spans="1:16" x14ac:dyDescent="0.25">
      <c r="A4" s="12">
        <v>3</v>
      </c>
      <c r="B4" s="1" t="s">
        <v>61</v>
      </c>
      <c r="C4" s="1" t="s">
        <v>62</v>
      </c>
      <c r="D4" s="1" t="s">
        <v>63</v>
      </c>
      <c r="E4" s="1" t="s">
        <v>64</v>
      </c>
      <c r="F4" s="12">
        <v>345678901</v>
      </c>
      <c r="G4" s="1">
        <v>2</v>
      </c>
      <c r="H4" s="1">
        <v>1</v>
      </c>
      <c r="I4" s="14">
        <v>45741</v>
      </c>
      <c r="J4" s="15">
        <v>45717</v>
      </c>
      <c r="K4" s="15">
        <v>45747</v>
      </c>
      <c r="L4" s="15">
        <v>45748</v>
      </c>
      <c r="M4" s="16">
        <v>44365</v>
      </c>
      <c r="N4">
        <v>1500</v>
      </c>
      <c r="O4">
        <v>60</v>
      </c>
      <c r="P4">
        <v>1</v>
      </c>
    </row>
    <row r="5" spans="1:16" x14ac:dyDescent="0.25">
      <c r="A5" s="12">
        <v>4</v>
      </c>
      <c r="B5" s="1" t="s">
        <v>65</v>
      </c>
      <c r="C5" s="1" t="s">
        <v>66</v>
      </c>
      <c r="D5" s="1" t="s">
        <v>67</v>
      </c>
      <c r="E5" s="1" t="s">
        <v>68</v>
      </c>
      <c r="F5" s="12">
        <v>456789012</v>
      </c>
      <c r="G5" s="1">
        <v>1</v>
      </c>
      <c r="H5" s="1">
        <v>1</v>
      </c>
      <c r="I5" s="14">
        <v>45772</v>
      </c>
      <c r="J5" s="15">
        <v>45748</v>
      </c>
      <c r="K5" s="15">
        <v>45777</v>
      </c>
      <c r="L5" s="15">
        <v>45778</v>
      </c>
      <c r="M5" s="16">
        <v>43915</v>
      </c>
      <c r="N5">
        <v>2500</v>
      </c>
      <c r="O5">
        <v>200</v>
      </c>
      <c r="P5">
        <v>1</v>
      </c>
    </row>
    <row r="6" spans="1:16" x14ac:dyDescent="0.25">
      <c r="A6" s="12">
        <v>5</v>
      </c>
      <c r="B6" s="1" t="s">
        <v>69</v>
      </c>
      <c r="C6" s="1" t="s">
        <v>70</v>
      </c>
      <c r="D6" s="1" t="s">
        <v>71</v>
      </c>
      <c r="E6" s="1" t="s">
        <v>72</v>
      </c>
      <c r="F6" s="12">
        <v>567890123</v>
      </c>
      <c r="G6" s="1">
        <v>2</v>
      </c>
      <c r="H6" s="1">
        <v>2</v>
      </c>
      <c r="I6" s="14">
        <v>45802</v>
      </c>
      <c r="J6" s="15">
        <v>45778</v>
      </c>
      <c r="K6" s="15">
        <v>45808</v>
      </c>
      <c r="L6" s="15">
        <v>45809</v>
      </c>
      <c r="M6" s="16">
        <v>44867</v>
      </c>
      <c r="N6">
        <v>1245</v>
      </c>
      <c r="O6">
        <v>50</v>
      </c>
      <c r="P6">
        <v>0</v>
      </c>
    </row>
    <row r="7" spans="1:16" x14ac:dyDescent="0.25">
      <c r="A7" s="12">
        <v>6</v>
      </c>
      <c r="B7" s="1" t="s">
        <v>73</v>
      </c>
      <c r="C7" s="1" t="s">
        <v>74</v>
      </c>
      <c r="D7" s="1" t="s">
        <v>75</v>
      </c>
      <c r="E7" s="1" t="s">
        <v>76</v>
      </c>
      <c r="F7" s="12">
        <v>569831704</v>
      </c>
      <c r="G7" s="1">
        <v>4</v>
      </c>
      <c r="H7" s="1">
        <v>4</v>
      </c>
      <c r="I7" s="14">
        <v>45833</v>
      </c>
      <c r="J7" s="15">
        <v>45809</v>
      </c>
      <c r="K7" s="16">
        <v>45838</v>
      </c>
      <c r="L7" s="15">
        <v>45839</v>
      </c>
      <c r="M7" s="16">
        <v>44331</v>
      </c>
      <c r="N7">
        <v>1510</v>
      </c>
      <c r="O7">
        <v>40</v>
      </c>
      <c r="P7">
        <v>1</v>
      </c>
    </row>
    <row r="8" spans="1:16" x14ac:dyDescent="0.25">
      <c r="A8" s="12">
        <v>7</v>
      </c>
      <c r="B8" s="1" t="s">
        <v>77</v>
      </c>
      <c r="C8" s="1" t="s">
        <v>78</v>
      </c>
      <c r="D8" s="1" t="s">
        <v>79</v>
      </c>
      <c r="E8" s="1" t="s">
        <v>80</v>
      </c>
      <c r="F8" s="12">
        <v>697183465</v>
      </c>
      <c r="G8" s="1">
        <v>2</v>
      </c>
      <c r="H8" s="1">
        <v>2</v>
      </c>
      <c r="I8" s="14">
        <v>45863</v>
      </c>
      <c r="J8" s="15">
        <v>45839</v>
      </c>
      <c r="K8" s="16">
        <v>45869</v>
      </c>
      <c r="L8" s="15">
        <v>45870</v>
      </c>
      <c r="M8" s="16">
        <v>44985</v>
      </c>
      <c r="N8">
        <v>1245</v>
      </c>
      <c r="O8">
        <v>50</v>
      </c>
      <c r="P8">
        <v>0</v>
      </c>
    </row>
    <row r="9" spans="1:16" x14ac:dyDescent="0.25">
      <c r="A9" s="12"/>
      <c r="B9" s="1"/>
      <c r="C9" s="1"/>
      <c r="D9" s="1"/>
      <c r="E9" s="1"/>
      <c r="F9" s="12"/>
      <c r="G9" s="1"/>
      <c r="H9" s="1"/>
      <c r="I9" s="14">
        <v>45894</v>
      </c>
      <c r="J9" s="15">
        <v>45870</v>
      </c>
      <c r="K9" s="16">
        <v>45900</v>
      </c>
      <c r="L9" s="15">
        <v>45901</v>
      </c>
    </row>
    <row r="10" spans="1:16" x14ac:dyDescent="0.25">
      <c r="A10" s="12"/>
      <c r="B10" s="1"/>
      <c r="C10" s="1"/>
      <c r="D10" s="1"/>
      <c r="E10" s="1"/>
      <c r="F10" s="12"/>
      <c r="G10" s="1"/>
      <c r="H10" s="1"/>
      <c r="I10" s="14">
        <v>45925</v>
      </c>
      <c r="J10" s="15">
        <v>45901</v>
      </c>
      <c r="K10" s="16">
        <v>45930</v>
      </c>
      <c r="L10" s="15">
        <v>45931</v>
      </c>
    </row>
    <row r="11" spans="1:16" x14ac:dyDescent="0.25">
      <c r="A11" s="12"/>
      <c r="B11" s="1"/>
      <c r="C11" s="1"/>
      <c r="D11" s="1"/>
      <c r="E11" s="1"/>
      <c r="F11" s="12"/>
      <c r="G11" s="1"/>
      <c r="H11" s="1"/>
      <c r="I11" s="14">
        <v>45955</v>
      </c>
      <c r="J11" s="15">
        <v>45931</v>
      </c>
      <c r="K11" s="16">
        <v>45961</v>
      </c>
      <c r="L11" s="15">
        <v>45962</v>
      </c>
    </row>
    <row r="12" spans="1:16" x14ac:dyDescent="0.25">
      <c r="A12" s="12"/>
      <c r="B12" s="1"/>
      <c r="C12" s="1"/>
      <c r="D12" s="1"/>
      <c r="E12" s="1"/>
      <c r="F12" s="12"/>
      <c r="G12" s="1"/>
      <c r="H12" s="1"/>
      <c r="I12" s="14">
        <v>45986</v>
      </c>
      <c r="J12" s="15">
        <v>45962</v>
      </c>
      <c r="K12" s="16">
        <v>45991</v>
      </c>
      <c r="L12" s="15">
        <v>45992</v>
      </c>
    </row>
    <row r="13" spans="1:16" x14ac:dyDescent="0.25">
      <c r="A13" s="12"/>
      <c r="B13" s="1"/>
      <c r="C13" s="1"/>
      <c r="D13" s="1"/>
      <c r="E13" s="1"/>
      <c r="F13" s="12"/>
      <c r="G13" s="1"/>
      <c r="H13" s="1"/>
      <c r="I13" s="14">
        <v>46016</v>
      </c>
      <c r="J13" s="15">
        <v>45992</v>
      </c>
      <c r="K13" s="16">
        <v>46022</v>
      </c>
      <c r="L13" s="15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Nominas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TÍO DANI</dc:creator>
  <cp:lastModifiedBy>TÍO DANI</cp:lastModifiedBy>
  <dcterms:created xsi:type="dcterms:W3CDTF">2025-06-17T09:18:05Z</dcterms:created>
  <dcterms:modified xsi:type="dcterms:W3CDTF">2025-06-17T22:08:38Z</dcterms:modified>
</cp:coreProperties>
</file>