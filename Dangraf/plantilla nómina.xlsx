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2" sheetId="1" r:id="rId4"/>
    <sheet state="visible" name="Hoja 1" sheetId="2" r:id="rId5"/>
  </sheets>
  <definedNames/>
  <calcPr/>
</workbook>
</file>

<file path=xl/sharedStrings.xml><?xml version="1.0" encoding="utf-8"?>
<sst xmlns="http://schemas.openxmlformats.org/spreadsheetml/2006/main" count="150" uniqueCount="145">
  <si>
    <t>EMPRESA</t>
  </si>
  <si>
    <t>TRABAJADOR/A</t>
  </si>
  <si>
    <t>Nombre: Ministerio del interior</t>
  </si>
  <si>
    <t>Nombre:</t>
  </si>
  <si>
    <t>Carlos</t>
  </si>
  <si>
    <t>Domicilio: Calle Amador de los Rios, 7</t>
  </si>
  <si>
    <t>DNI:</t>
  </si>
  <si>
    <t>CIF: S2816001H</t>
  </si>
  <si>
    <t>Número afiliación a la S.S:</t>
  </si>
  <si>
    <t>Categoría o grupo profesional:</t>
  </si>
  <si>
    <t>Grupo de cotización:</t>
  </si>
  <si>
    <t>Fecha de ingreso en la empresa:</t>
  </si>
  <si>
    <t>Periodo de liquidación:</t>
  </si>
  <si>
    <t>Total días:</t>
  </si>
  <si>
    <t>MES-30</t>
  </si>
  <si>
    <t>DEVENGOS</t>
  </si>
  <si>
    <t>CANTIDAD</t>
  </si>
  <si>
    <t>PRECIO</t>
  </si>
  <si>
    <t>TOTALES</t>
  </si>
  <si>
    <t>Percepciones salariales:</t>
  </si>
  <si>
    <t>Salario base</t>
  </si>
  <si>
    <t>Complementos salariales por peligrosidad</t>
  </si>
  <si>
    <t>Complemento de ajuste</t>
  </si>
  <si>
    <t>Horas extraordinarias</t>
  </si>
  <si>
    <t>Incentivos</t>
  </si>
  <si>
    <t>Antigüedad</t>
  </si>
  <si>
    <t>Percepciones no salariales:</t>
  </si>
  <si>
    <t>Dietas</t>
  </si>
  <si>
    <t>Plus de transporte</t>
  </si>
  <si>
    <t>Pagos por incapacidad temporal</t>
  </si>
  <si>
    <t>Complementos por incapacidad temporal a cargo de la empresa</t>
  </si>
  <si>
    <t>TOTAL DEVENGADO</t>
  </si>
  <si>
    <t>DEDUCCIONES</t>
  </si>
  <si>
    <t>Aportación del trabajador a las cotizaciones de la Seguridad Social:</t>
  </si>
  <si>
    <t>Contingencias comunes</t>
  </si>
  <si>
    <t>Desempleo</t>
  </si>
  <si>
    <t>Formación Profesional</t>
  </si>
  <si>
    <t>Retenciones a cuenta de IRPF</t>
  </si>
  <si>
    <t>Otras deducciones</t>
  </si>
  <si>
    <t>TOTAL A DEDUCIR</t>
  </si>
  <si>
    <t>LIQUIDO A PERCIBIR</t>
  </si>
  <si>
    <t>Fecha de ingreso de la nómina:</t>
  </si>
  <si>
    <t>Entidad financiera (banco):</t>
  </si>
  <si>
    <t>BBVA</t>
  </si>
  <si>
    <t>Número de cuenta:</t>
  </si>
  <si>
    <t>**************001</t>
  </si>
  <si>
    <t>DETERMINACIÓN BASES COTIZACIÓN A LA SEGURIDAD SOCIAL</t>
  </si>
  <si>
    <t>TOTAL BASE S.S.</t>
  </si>
  <si>
    <t>Base de cotización de contingencias profesionales</t>
  </si>
  <si>
    <t>Base de horas extras</t>
  </si>
  <si>
    <t>Base sujeta a retención del IRPF</t>
  </si>
  <si>
    <t>Nombre</t>
  </si>
  <si>
    <t>Apellidos</t>
  </si>
  <si>
    <t>Dirección</t>
  </si>
  <si>
    <t>DNI</t>
  </si>
  <si>
    <t>Seg. Social</t>
  </si>
  <si>
    <t>Cat. grupo</t>
  </si>
  <si>
    <t>cotización</t>
  </si>
  <si>
    <t>mes-año</t>
  </si>
  <si>
    <t>inicio fecha</t>
  </si>
  <si>
    <t>fin fecha</t>
  </si>
  <si>
    <t>Juan</t>
  </si>
  <si>
    <t>Perez</t>
  </si>
  <si>
    <t>calle falsa 123</t>
  </si>
  <si>
    <t>12345678H</t>
  </si>
  <si>
    <t>Maria</t>
  </si>
  <si>
    <t>Gomez</t>
  </si>
  <si>
    <t>Av. siempre viva 742</t>
  </si>
  <si>
    <t>234567891G</t>
  </si>
  <si>
    <t>Ramirez</t>
  </si>
  <si>
    <t>calle central 456</t>
  </si>
  <si>
    <t>345678902T</t>
  </si>
  <si>
    <t>Laura</t>
  </si>
  <si>
    <t>Fernandez</t>
  </si>
  <si>
    <t>Boulevard norte 101</t>
  </si>
  <si>
    <t>456789015P</t>
  </si>
  <si>
    <t>Luis</t>
  </si>
  <si>
    <t>Martinez</t>
  </si>
  <si>
    <t>Ruta Provincial 33</t>
  </si>
  <si>
    <t>567890123K</t>
  </si>
  <si>
    <t>Daniel</t>
  </si>
  <si>
    <t>Cejudo</t>
  </si>
  <si>
    <t>calle de las palabrotas 10</t>
  </si>
  <si>
    <t>57489016L</t>
  </si>
  <si>
    <t>Sergio</t>
  </si>
  <si>
    <t>Castro</t>
  </si>
  <si>
    <t>Av. Guadalajara 30</t>
  </si>
  <si>
    <t>60020366A</t>
  </si>
  <si>
    <t>Ivan</t>
  </si>
  <si>
    <t>Stone</t>
  </si>
  <si>
    <t>Boulevard Entonces 7</t>
  </si>
  <si>
    <t>45890234N</t>
  </si>
  <si>
    <t>Alejandro</t>
  </si>
  <si>
    <t>Rey</t>
  </si>
  <si>
    <t>calle de la tranquilidad 5</t>
  </si>
  <si>
    <t>10911053G</t>
  </si>
  <si>
    <t>Acosta</t>
  </si>
  <si>
    <t>Av. de la risa 18</t>
  </si>
  <si>
    <t>29004568A</t>
  </si>
  <si>
    <t>Adolfo</t>
  </si>
  <si>
    <t>Suarez</t>
  </si>
  <si>
    <t>calle del arrebato 20</t>
  </si>
  <si>
    <t>80947626S</t>
  </si>
  <si>
    <t>Soledad</t>
  </si>
  <si>
    <t>Boulevard de la niña 12</t>
  </si>
  <si>
    <t>78903578H</t>
  </si>
  <si>
    <t>Geraldine</t>
  </si>
  <si>
    <t>Escudero</t>
  </si>
  <si>
    <t>calle de la decepcion 41</t>
  </si>
  <si>
    <t>90657382P</t>
  </si>
  <si>
    <t>Dolores</t>
  </si>
  <si>
    <t>calle del miau 45</t>
  </si>
  <si>
    <t>96874625Y</t>
  </si>
  <si>
    <t>Andres</t>
  </si>
  <si>
    <t>Carrera</t>
  </si>
  <si>
    <t>Boulevard del rock 44</t>
  </si>
  <si>
    <t>56892353A</t>
  </si>
  <si>
    <t>Jhuliana</t>
  </si>
  <si>
    <t>Mendez</t>
  </si>
  <si>
    <t>Av. de  la cercania 56</t>
  </si>
  <si>
    <t>78939017J</t>
  </si>
  <si>
    <t>Kimberly</t>
  </si>
  <si>
    <t>Garcia</t>
  </si>
  <si>
    <t>Av. del diseño 47</t>
  </si>
  <si>
    <t>34567801K</t>
  </si>
  <si>
    <t>Rosita</t>
  </si>
  <si>
    <t>Mc pato</t>
  </si>
  <si>
    <t>calle del cua cua 92</t>
  </si>
  <si>
    <t>48983246R</t>
  </si>
  <si>
    <t>Ana</t>
  </si>
  <si>
    <t>Pastor</t>
  </si>
  <si>
    <t>calle de la elegancia 171</t>
  </si>
  <si>
    <t>65145568P</t>
  </si>
  <si>
    <t>Rosa</t>
  </si>
  <si>
    <t>Manrique</t>
  </si>
  <si>
    <t>Av. de la rosa 33</t>
  </si>
  <si>
    <t>45679012Z</t>
  </si>
  <si>
    <t>Elena</t>
  </si>
  <si>
    <t>Padilla</t>
  </si>
  <si>
    <t>Calle de la desigualdad</t>
  </si>
  <si>
    <t>46589901E</t>
  </si>
  <si>
    <t>Mar</t>
  </si>
  <si>
    <t>Moreno</t>
  </si>
  <si>
    <t>Av. de la ilustracion 20</t>
  </si>
  <si>
    <t>12373510M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</si>
</sst>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mmmm-yyyy"/>
    <numFmt numFmtId="166" formatCode="d/MM/yyyy"/>
    <numFmt numFmtId="167" formatCode="#,##0.00\ [$€-1]"/>
    <numFmt numFmtId="168" formatCode="0.0%"/>
    <numFmt numFmtId="169" formatCode="mmmm-d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/>
    <font>
      <sz val="10.0"/>
      <color theme="1"/>
      <name val="Arial"/>
    </font>
    <font>
      <sz val="8.0"/>
      <color theme="1"/>
      <name val="Arial"/>
    </font>
    <font>
      <i/>
      <sz val="10.0"/>
      <color theme="1"/>
      <name val="Arial"/>
    </font>
    <font>
      <i/>
      <sz val="10.0"/>
      <color rgb="FF000000"/>
      <name val="Arial"/>
    </font>
    <font>
      <i/>
      <sz val="8.0"/>
      <color theme="1"/>
      <name val="Arial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/>
    </border>
    <border>
      <left/>
      <right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/>
      <bottom/>
    </border>
    <border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7" fillId="0" fontId="3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3" numFmtId="0" xfId="0" applyAlignment="1" applyBorder="1" applyFont="1">
      <alignment readingOrder="0"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3" numFmtId="164" xfId="0" applyAlignment="1" applyBorder="1" applyFont="1" applyNumberFormat="1">
      <alignment horizontal="center" readingOrder="0" shrinkToFit="0" vertical="bottom" wrapText="0"/>
    </xf>
    <xf borderId="12" fillId="0" fontId="3" numFmtId="0" xfId="0" applyAlignment="1" applyBorder="1" applyFont="1">
      <alignment shrinkToFit="0" vertical="bottom" wrapText="0"/>
    </xf>
    <xf borderId="2" fillId="0" fontId="3" numFmtId="165" xfId="0" applyAlignment="1" applyBorder="1" applyFont="1" applyNumberFormat="1">
      <alignment horizontal="center" readingOrder="0" shrinkToFit="0" vertical="bottom" wrapText="0"/>
    </xf>
    <xf borderId="2" fillId="0" fontId="5" numFmtId="166" xfId="0" applyAlignment="1" applyBorder="1" applyFont="1" applyNumberFormat="1">
      <alignment readingOrder="0" shrinkToFit="0" vertical="bottom" wrapText="0"/>
    </xf>
    <xf borderId="2" fillId="0" fontId="3" numFmtId="0" xfId="0" applyAlignment="1" applyBorder="1" applyFont="1">
      <alignment shrinkToFit="0" vertical="bottom" wrapText="0"/>
    </xf>
    <xf borderId="13" fillId="0" fontId="3" numFmtId="0" xfId="0" applyAlignment="1" applyBorder="1" applyFont="1">
      <alignment readingOrder="0" shrinkToFit="0" vertical="bottom" wrapText="0"/>
    </xf>
    <xf borderId="14" fillId="2" fontId="1" numFmtId="0" xfId="0" applyAlignment="1" applyBorder="1" applyFont="1">
      <alignment horizontal="center" shrinkToFit="0" vertical="bottom" wrapText="0"/>
    </xf>
    <xf borderId="15" fillId="2" fontId="4" numFmtId="0" xfId="0" applyAlignment="1" applyBorder="1" applyFont="1">
      <alignment shrinkToFit="0" vertical="bottom" wrapText="0"/>
    </xf>
    <xf borderId="16" fillId="2" fontId="4" numFmtId="0" xfId="0" applyAlignment="1" applyBorder="1" applyFont="1">
      <alignment shrinkToFit="0" vertical="bottom" wrapText="0"/>
    </xf>
    <xf borderId="16" fillId="2" fontId="1" numFmtId="0" xfId="0" applyAlignment="1" applyBorder="1" applyFont="1">
      <alignment horizontal="center" shrinkToFit="0" vertical="bottom" wrapText="0"/>
    </xf>
    <xf borderId="17" fillId="2" fontId="1" numFmtId="0" xfId="0" applyAlignment="1" applyBorder="1" applyFont="1">
      <alignment horizontal="center" shrinkToFit="0" vertical="bottom" wrapText="0"/>
    </xf>
    <xf borderId="4" fillId="0" fontId="1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167" xfId="0" applyAlignment="1" applyFont="1" applyNumberFormat="1">
      <alignment shrinkToFit="0" vertical="bottom" wrapText="0"/>
    </xf>
    <xf borderId="7" fillId="0" fontId="5" numFmtId="167" xfId="0" applyAlignment="1" applyBorder="1" applyFont="1" applyNumberForma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7" fillId="0" fontId="5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13" fillId="0" fontId="5" numFmtId="167" xfId="0" applyAlignment="1" applyBorder="1" applyFont="1" applyNumberFormat="1">
      <alignment shrinkToFit="0" vertical="bottom" wrapText="0"/>
    </xf>
    <xf borderId="18" fillId="2" fontId="1" numFmtId="0" xfId="0" applyAlignment="1" applyBorder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5" numFmtId="168" xfId="0" applyAlignment="1" applyFont="1" applyNumberFormat="1">
      <alignment shrinkToFit="0" vertical="bottom" wrapText="0"/>
    </xf>
    <xf borderId="7" fillId="0" fontId="5" numFmtId="167" xfId="0" applyAlignment="1" applyBorder="1" applyFont="1" applyNumberFormat="1">
      <alignment shrinkToFit="0" vertical="bottom" wrapText="0"/>
    </xf>
    <xf borderId="0" fillId="0" fontId="5" numFmtId="10" xfId="0" applyAlignment="1" applyFont="1" applyNumberForma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7" fillId="0" fontId="7" numFmtId="0" xfId="0" applyAlignment="1" applyBorder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18" fillId="2" fontId="1" numFmtId="0" xfId="0" applyAlignment="1" applyBorder="1" applyFont="1">
      <alignment shrinkToFit="0" vertical="bottom" wrapText="0"/>
    </xf>
    <xf borderId="16" fillId="2" fontId="3" numFmtId="0" xfId="0" applyAlignment="1" applyBorder="1" applyFont="1">
      <alignment shrinkToFit="0" vertical="bottom" wrapText="0"/>
    </xf>
    <xf borderId="19" fillId="2" fontId="3" numFmtId="0" xfId="0" applyAlignment="1" applyBorder="1" applyFont="1">
      <alignment horizontal="center" shrinkToFit="0" vertical="bottom" wrapText="0"/>
    </xf>
    <xf borderId="20" fillId="0" fontId="2" numFmtId="0" xfId="0" applyBorder="1" applyFont="1"/>
    <xf borderId="21" fillId="2" fontId="5" numFmtId="167" xfId="0" applyAlignment="1" applyBorder="1" applyFont="1" applyNumberFormat="1">
      <alignment shrinkToFit="0" vertical="bottom" wrapText="0"/>
    </xf>
    <xf borderId="22" fillId="0" fontId="3" numFmtId="0" xfId="0" applyAlignment="1" applyBorder="1" applyFont="1">
      <alignment shrinkToFit="0" vertical="bottom" wrapText="0"/>
    </xf>
    <xf borderId="23" fillId="0" fontId="2" numFmtId="0" xfId="0" applyBorder="1" applyFont="1"/>
    <xf borderId="23" fillId="0" fontId="4" numFmtId="164" xfId="0" applyAlignment="1" applyBorder="1" applyFont="1" applyNumberFormat="1">
      <alignment horizontal="center" readingOrder="0" shrinkToFit="0" vertical="bottom" wrapText="0"/>
    </xf>
    <xf borderId="23" fillId="0" fontId="4" numFmtId="0" xfId="0" applyAlignment="1" applyBorder="1" applyFont="1">
      <alignment shrinkToFit="0" vertical="bottom" wrapText="0"/>
    </xf>
    <xf borderId="23" fillId="0" fontId="3" numFmtId="0" xfId="0" applyAlignment="1" applyBorder="1" applyFont="1">
      <alignment horizontal="center" shrinkToFit="0" vertical="center" wrapText="0"/>
    </xf>
    <xf borderId="24" fillId="0" fontId="2" numFmtId="0" xfId="0" applyBorder="1" applyFont="1"/>
    <xf borderId="0" fillId="0" fontId="4" numFmtId="0" xfId="0" applyAlignment="1" applyFont="1">
      <alignment horizontal="center" readingOrder="0" shrinkToFit="0" vertical="bottom" wrapText="0"/>
    </xf>
    <xf borderId="7" fillId="0" fontId="2" numFmtId="0" xfId="0" applyBorder="1" applyFont="1"/>
    <xf borderId="25" fillId="0" fontId="3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readingOrder="0" shrinkToFit="0" vertical="bottom" wrapText="0"/>
    </xf>
    <xf borderId="10" fillId="0" fontId="2" numFmtId="0" xfId="0" applyBorder="1" applyFont="1"/>
    <xf borderId="11" fillId="0" fontId="2" numFmtId="0" xfId="0" applyBorder="1" applyFont="1"/>
    <xf borderId="26" fillId="2" fontId="1" numFmtId="0" xfId="0" applyAlignment="1" applyBorder="1" applyFont="1">
      <alignment shrinkToFit="0" vertical="bottom" wrapText="0"/>
    </xf>
    <xf borderId="27" fillId="0" fontId="2" numFmtId="0" xfId="0" applyBorder="1" applyFont="1"/>
    <xf borderId="17" fillId="2" fontId="4" numFmtId="0" xfId="0" applyAlignment="1" applyBorder="1" applyFont="1">
      <alignment shrinkToFit="0" vertical="bottom" wrapText="0"/>
    </xf>
    <xf borderId="7" fillId="0" fontId="3" numFmtId="167" xfId="0" applyAlignment="1" applyBorder="1" applyFont="1" applyNumberFormat="1">
      <alignment shrinkToFit="0" vertical="bottom" wrapText="0"/>
    </xf>
    <xf borderId="28" fillId="0" fontId="3" numFmtId="0" xfId="0" applyAlignment="1" applyBorder="1" applyFont="1">
      <alignment shrinkToFit="0" vertical="bottom" wrapText="0"/>
    </xf>
    <xf borderId="29" fillId="0" fontId="4" numFmtId="0" xfId="0" applyAlignment="1" applyBorder="1" applyFont="1">
      <alignment shrinkToFit="0" vertical="bottom" wrapText="0"/>
    </xf>
    <xf borderId="30" fillId="0" fontId="5" numFmtId="167" xfId="0" applyAlignment="1" applyBorder="1" applyFont="1" applyNumberFormat="1">
      <alignment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vertical="bottom"/>
    </xf>
    <xf borderId="0" fillId="0" fontId="8" numFmtId="169" xfId="0" applyAlignment="1" applyFont="1" applyNumberFormat="1">
      <alignment readingOrder="0"/>
    </xf>
    <xf borderId="0" fillId="0" fontId="8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35</xdr:row>
      <xdr:rowOff>0</xdr:rowOff>
    </xdr:from>
    <xdr:ext cx="485775" cy="190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25"/>
    <col customWidth="1" min="2" max="2" width="12.5"/>
    <col customWidth="1" min="3" max="3" width="16.25"/>
    <col customWidth="1" min="4" max="4" width="9.75"/>
    <col customWidth="1" min="5" max="5" width="13.88"/>
    <col customWidth="1" min="6" max="6" width="11.38"/>
    <col customWidth="1" min="7" max="7" width="14.0"/>
    <col customWidth="1" min="8" max="26" width="8.63"/>
  </cols>
  <sheetData>
    <row r="1">
      <c r="B1" s="1" t="s">
        <v>0</v>
      </c>
      <c r="C1" s="2"/>
      <c r="D1" s="3"/>
      <c r="E1" s="1" t="s">
        <v>1</v>
      </c>
      <c r="F1" s="2"/>
      <c r="G1" s="3"/>
    </row>
    <row r="2">
      <c r="B2" s="4" t="s">
        <v>2</v>
      </c>
      <c r="C2" s="5"/>
      <c r="D2" s="6"/>
      <c r="E2" s="7" t="s">
        <v>3</v>
      </c>
      <c r="F2" s="8" t="s">
        <v>4</v>
      </c>
      <c r="G2" s="9" t="str">
        <f>VLOOKUP(F2,'Hoja 1'!B2:H23,2,FALSE)</f>
        <v>Ramirez</v>
      </c>
    </row>
    <row r="3">
      <c r="B3" s="4" t="s">
        <v>5</v>
      </c>
      <c r="C3" s="5"/>
      <c r="D3" s="6"/>
      <c r="E3" s="7" t="s">
        <v>6</v>
      </c>
      <c r="F3" s="10" t="str">
        <f>VLOOKUP(F2,'Hoja 1'!B2:H23,4,FALSE)</f>
        <v>345678902T</v>
      </c>
      <c r="G3" s="9"/>
    </row>
    <row r="4">
      <c r="B4" s="4" t="s">
        <v>7</v>
      </c>
      <c r="C4" s="5"/>
      <c r="D4" s="6"/>
      <c r="E4" s="7" t="s">
        <v>8</v>
      </c>
      <c r="F4" s="5"/>
      <c r="G4" s="11">
        <f>VLOOKUP(F2,'Hoja 1'!B2:H23,5,FALSE)</f>
        <v>345678901</v>
      </c>
    </row>
    <row r="5">
      <c r="B5" s="12"/>
      <c r="D5" s="6"/>
      <c r="E5" s="7" t="s">
        <v>9</v>
      </c>
      <c r="F5" s="5"/>
      <c r="G5" s="13">
        <f>VLOOKUP(F2,'Hoja 1'!B2:H23,6,FALSE)</f>
        <v>5</v>
      </c>
    </row>
    <row r="6">
      <c r="B6" s="12"/>
      <c r="D6" s="6"/>
      <c r="E6" s="7" t="s">
        <v>10</v>
      </c>
      <c r="F6" s="5"/>
      <c r="G6" s="13">
        <f>VLOOKUP(F2,'Hoja 1'!B2:H23,7,FALSE)</f>
        <v>4</v>
      </c>
    </row>
    <row r="7">
      <c r="B7" s="12"/>
      <c r="D7" s="14"/>
      <c r="E7" s="15" t="s">
        <v>11</v>
      </c>
      <c r="F7" s="16"/>
      <c r="G7" s="17">
        <v>40179.0</v>
      </c>
    </row>
    <row r="8">
      <c r="B8" s="18" t="s">
        <v>12</v>
      </c>
      <c r="C8" s="19">
        <v>45682.0</v>
      </c>
      <c r="D8" s="20">
        <f>VLOOKUP(C8,'Hoja 1'!I2:K6,2,FALSE)</f>
        <v>45658</v>
      </c>
      <c r="E8" s="20">
        <f>VLOOKUP(C8,'Hoja 1'!I2:K6,3,FALSE)</f>
        <v>45688</v>
      </c>
      <c r="F8" s="21" t="s">
        <v>13</v>
      </c>
      <c r="G8" s="22" t="s">
        <v>14</v>
      </c>
    </row>
    <row r="9">
      <c r="B9" s="23" t="s">
        <v>15</v>
      </c>
      <c r="C9" s="24"/>
      <c r="D9" s="25"/>
      <c r="E9" s="26" t="s">
        <v>16</v>
      </c>
      <c r="F9" s="26" t="s">
        <v>17</v>
      </c>
      <c r="G9" s="27" t="s">
        <v>18</v>
      </c>
    </row>
    <row r="10">
      <c r="B10" s="28" t="s">
        <v>19</v>
      </c>
      <c r="D10" s="5"/>
      <c r="E10" s="5"/>
      <c r="F10" s="5"/>
      <c r="G10" s="29"/>
    </row>
    <row r="11">
      <c r="B11" s="12" t="s">
        <v>20</v>
      </c>
      <c r="E11" s="30"/>
      <c r="F11" s="31"/>
      <c r="G11" s="32">
        <v>1800.0</v>
      </c>
    </row>
    <row r="12">
      <c r="B12" s="4" t="s">
        <v>21</v>
      </c>
      <c r="E12" s="33"/>
      <c r="F12" s="10"/>
      <c r="G12" s="11">
        <v>200.0</v>
      </c>
    </row>
    <row r="13">
      <c r="B13" s="12" t="s">
        <v>22</v>
      </c>
      <c r="E13" s="10"/>
      <c r="F13" s="10"/>
      <c r="G13" s="9"/>
    </row>
    <row r="14">
      <c r="B14" s="12" t="s">
        <v>23</v>
      </c>
      <c r="E14" s="8">
        <v>3.0</v>
      </c>
      <c r="F14" s="8">
        <v>14.0</v>
      </c>
      <c r="G14" s="9">
        <f>E14*F14</f>
        <v>42</v>
      </c>
    </row>
    <row r="15">
      <c r="B15" s="12" t="s">
        <v>24</v>
      </c>
      <c r="E15" s="10"/>
      <c r="F15" s="10"/>
      <c r="G15" s="34"/>
    </row>
    <row r="16">
      <c r="B16" s="4" t="s">
        <v>25</v>
      </c>
      <c r="C16" s="10"/>
      <c r="D16" s="10"/>
      <c r="E16" s="30">
        <v>5.0</v>
      </c>
      <c r="F16" s="30">
        <v>5.0</v>
      </c>
      <c r="G16" s="34">
        <f>E16*F16</f>
        <v>25</v>
      </c>
    </row>
    <row r="17">
      <c r="B17" s="28" t="s">
        <v>26</v>
      </c>
      <c r="D17" s="5"/>
      <c r="E17" s="10"/>
      <c r="F17" s="10"/>
      <c r="G17" s="9"/>
    </row>
    <row r="18">
      <c r="B18" s="12" t="s">
        <v>27</v>
      </c>
      <c r="C18" s="10"/>
      <c r="D18" s="10"/>
      <c r="E18" s="8">
        <v>1.0</v>
      </c>
      <c r="F18" s="8">
        <v>10.0</v>
      </c>
      <c r="G18" s="9">
        <f>E18*F18</f>
        <v>10</v>
      </c>
    </row>
    <row r="19">
      <c r="B19" s="12" t="s">
        <v>28</v>
      </c>
      <c r="E19" s="5"/>
      <c r="F19" s="5"/>
      <c r="G19" s="29"/>
    </row>
    <row r="20">
      <c r="B20" s="12" t="s">
        <v>29</v>
      </c>
      <c r="C20" s="10"/>
      <c r="D20" s="10"/>
      <c r="E20" s="5"/>
      <c r="F20" s="5"/>
      <c r="G20" s="29"/>
    </row>
    <row r="21" ht="15.75" customHeight="1">
      <c r="B21" s="12" t="s">
        <v>30</v>
      </c>
      <c r="C21" s="5"/>
      <c r="D21" s="5"/>
      <c r="E21" s="5"/>
      <c r="F21" s="5"/>
      <c r="G21" s="29"/>
    </row>
    <row r="22" ht="15.75" customHeight="1">
      <c r="B22" s="35" t="s">
        <v>31</v>
      </c>
      <c r="C22" s="2"/>
      <c r="D22" s="36"/>
      <c r="E22" s="36"/>
      <c r="F22" s="36"/>
      <c r="G22" s="37">
        <f>SUM(G11:G21)</f>
        <v>2077</v>
      </c>
    </row>
    <row r="23" ht="10.5" customHeight="1">
      <c r="B23" s="12"/>
      <c r="C23" s="5"/>
      <c r="D23" s="5"/>
      <c r="E23" s="5"/>
      <c r="F23" s="5"/>
      <c r="G23" s="29"/>
    </row>
    <row r="24" ht="15.75" customHeight="1">
      <c r="B24" s="38" t="s">
        <v>32</v>
      </c>
      <c r="C24" s="25"/>
      <c r="D24" s="25"/>
      <c r="E24" s="26"/>
      <c r="F24" s="26"/>
      <c r="G24" s="27" t="s">
        <v>18</v>
      </c>
    </row>
    <row r="25" ht="15.75" customHeight="1">
      <c r="B25" s="28" t="s">
        <v>33</v>
      </c>
      <c r="G25" s="9"/>
    </row>
    <row r="26" ht="15.75" customHeight="1">
      <c r="B26" s="12" t="s">
        <v>34</v>
      </c>
      <c r="D26" s="39"/>
      <c r="F26" s="40">
        <v>0.047</v>
      </c>
      <c r="G26" s="41">
        <f>(G22*F26)</f>
        <v>97.619</v>
      </c>
    </row>
    <row r="27" ht="15.75" customHeight="1">
      <c r="B27" s="12" t="s">
        <v>35</v>
      </c>
      <c r="D27" s="10"/>
      <c r="F27" s="42">
        <v>0.0155</v>
      </c>
      <c r="G27" s="41">
        <f>(G22*F27)</f>
        <v>32.1935</v>
      </c>
    </row>
    <row r="28" ht="15.75" customHeight="1">
      <c r="B28" s="12" t="s">
        <v>36</v>
      </c>
      <c r="D28" s="10"/>
      <c r="F28" s="40">
        <v>0.001</v>
      </c>
      <c r="G28" s="41">
        <f>(G22*F28)</f>
        <v>2.077</v>
      </c>
    </row>
    <row r="29" ht="15.75" customHeight="1">
      <c r="B29" s="12" t="s">
        <v>37</v>
      </c>
      <c r="F29" s="40">
        <v>0.1487</v>
      </c>
      <c r="G29" s="41">
        <f>G22*F29</f>
        <v>308.8499</v>
      </c>
    </row>
    <row r="30" ht="15.75" customHeight="1">
      <c r="B30" s="12" t="s">
        <v>38</v>
      </c>
      <c r="F30" s="43"/>
      <c r="G30" s="41">
        <v>50.0</v>
      </c>
    </row>
    <row r="31" ht="3.0" customHeight="1">
      <c r="B31" s="12"/>
      <c r="F31" s="44"/>
      <c r="G31" s="45"/>
    </row>
    <row r="32" ht="15.75" customHeight="1">
      <c r="B32" s="35" t="s">
        <v>39</v>
      </c>
      <c r="C32" s="21"/>
      <c r="D32" s="21"/>
      <c r="E32" s="21"/>
      <c r="F32" s="46"/>
      <c r="G32" s="37">
        <f>SUM(G29:G30)</f>
        <v>358.8499</v>
      </c>
    </row>
    <row r="33" ht="9.0" customHeight="1">
      <c r="B33" s="12"/>
      <c r="C33" s="10"/>
      <c r="D33" s="10"/>
      <c r="E33" s="5"/>
      <c r="F33" s="5"/>
      <c r="G33" s="29"/>
    </row>
    <row r="34" ht="15.75" customHeight="1">
      <c r="B34" s="47" t="s">
        <v>40</v>
      </c>
      <c r="C34" s="48"/>
      <c r="D34" s="49"/>
      <c r="E34" s="50"/>
      <c r="F34" s="25"/>
      <c r="G34" s="51">
        <f>G22-G32</f>
        <v>1718.1501</v>
      </c>
    </row>
    <row r="35" ht="12.75" customHeight="1">
      <c r="B35" s="12"/>
      <c r="C35" s="5"/>
      <c r="D35" s="5"/>
      <c r="E35" s="5"/>
      <c r="F35" s="5"/>
      <c r="G35" s="29"/>
    </row>
    <row r="36">
      <c r="B36" s="52" t="s">
        <v>41</v>
      </c>
      <c r="C36" s="53"/>
      <c r="D36" s="54">
        <v>45689.0</v>
      </c>
      <c r="E36" s="55"/>
      <c r="F36" s="56"/>
      <c r="G36" s="57"/>
    </row>
    <row r="37" ht="15.75" customHeight="1">
      <c r="B37" s="12" t="s">
        <v>42</v>
      </c>
      <c r="C37" s="5"/>
      <c r="D37" s="58" t="s">
        <v>43</v>
      </c>
      <c r="E37" s="5"/>
      <c r="G37" s="59"/>
    </row>
    <row r="38" ht="15.75" customHeight="1">
      <c r="B38" s="60" t="s">
        <v>44</v>
      </c>
      <c r="C38" s="16"/>
      <c r="D38" s="61" t="s">
        <v>45</v>
      </c>
      <c r="E38" s="16"/>
      <c r="F38" s="62"/>
      <c r="G38" s="63"/>
    </row>
    <row r="39" ht="12.75" customHeight="1">
      <c r="B39" s="12"/>
      <c r="C39" s="5"/>
      <c r="D39" s="5"/>
      <c r="E39" s="5"/>
      <c r="F39" s="5"/>
      <c r="G39" s="29"/>
    </row>
    <row r="40" ht="15.75" customHeight="1">
      <c r="B40" s="64" t="s">
        <v>46</v>
      </c>
      <c r="C40" s="65"/>
      <c r="D40" s="65"/>
      <c r="E40" s="65"/>
      <c r="F40" s="50"/>
      <c r="G40" s="66"/>
    </row>
    <row r="41" ht="15.75" customHeight="1">
      <c r="B41" s="28" t="s">
        <v>47</v>
      </c>
      <c r="C41" s="5"/>
      <c r="D41" s="5"/>
      <c r="E41" s="5"/>
      <c r="F41" s="5"/>
      <c r="G41" s="67"/>
    </row>
    <row r="42" ht="4.5" customHeight="1">
      <c r="B42" s="12"/>
      <c r="C42" s="5"/>
      <c r="D42" s="5"/>
      <c r="E42" s="5"/>
      <c r="F42" s="5"/>
      <c r="G42" s="67"/>
    </row>
    <row r="43" ht="10.5" customHeight="1">
      <c r="B43" s="12" t="s">
        <v>48</v>
      </c>
      <c r="C43" s="5"/>
      <c r="D43" s="5"/>
      <c r="E43" s="5"/>
      <c r="F43" s="5"/>
      <c r="G43" s="41">
        <f>G22</f>
        <v>2077</v>
      </c>
    </row>
    <row r="44" ht="15.75" customHeight="1">
      <c r="B44" s="12" t="s">
        <v>49</v>
      </c>
      <c r="C44" s="5"/>
      <c r="D44" s="5"/>
      <c r="E44" s="5"/>
      <c r="F44" s="5"/>
      <c r="G44" s="67"/>
    </row>
    <row r="45" ht="15.75" customHeight="1">
      <c r="B45" s="68" t="s">
        <v>50</v>
      </c>
      <c r="C45" s="69"/>
      <c r="D45" s="69"/>
      <c r="E45" s="69"/>
      <c r="F45" s="69"/>
      <c r="G45" s="70">
        <f>G22</f>
        <v>2077</v>
      </c>
    </row>
    <row r="46" ht="15.75" customHeight="1"/>
    <row r="47" ht="5.2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1:D1"/>
    <mergeCell ref="E1:G1"/>
    <mergeCell ref="B5:C5"/>
    <mergeCell ref="B10:C10"/>
    <mergeCell ref="B11:D11"/>
    <mergeCell ref="B12:D12"/>
    <mergeCell ref="B13:D13"/>
    <mergeCell ref="B14:D14"/>
    <mergeCell ref="B15:D15"/>
    <mergeCell ref="B17:C17"/>
    <mergeCell ref="B19:D19"/>
    <mergeCell ref="B22:C22"/>
    <mergeCell ref="B25:F25"/>
    <mergeCell ref="D26:E26"/>
    <mergeCell ref="B36:C36"/>
    <mergeCell ref="B40:F40"/>
    <mergeCell ref="B26:C26"/>
    <mergeCell ref="B27:C27"/>
    <mergeCell ref="B28:C28"/>
    <mergeCell ref="B29:D29"/>
    <mergeCell ref="B30:D30"/>
    <mergeCell ref="D34:E34"/>
    <mergeCell ref="F36:G38"/>
  </mergeCells>
  <dataValidations>
    <dataValidation type="list" allowBlank="1" showErrorMessage="1" sqref="F2">
      <formula1>'Hoja 1'!$B$2:$B$23</formula1>
    </dataValidation>
    <dataValidation type="list" allowBlank="1" showErrorMessage="1" sqref="C8">
      <formula1>'Hoja 1'!$I$2:$I$6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B1" s="71" t="s">
        <v>51</v>
      </c>
      <c r="C1" s="71" t="s">
        <v>52</v>
      </c>
      <c r="D1" s="71" t="s">
        <v>53</v>
      </c>
      <c r="E1" s="71" t="s">
        <v>54</v>
      </c>
      <c r="F1" s="71" t="s">
        <v>55</v>
      </c>
      <c r="G1" s="71" t="s">
        <v>56</v>
      </c>
      <c r="H1" s="71" t="s">
        <v>57</v>
      </c>
      <c r="I1" s="71" t="s">
        <v>58</v>
      </c>
      <c r="J1" s="71" t="s">
        <v>59</v>
      </c>
      <c r="K1" s="71" t="s">
        <v>60</v>
      </c>
    </row>
    <row r="2">
      <c r="A2" s="72">
        <v>1.0</v>
      </c>
      <c r="B2" s="73" t="s">
        <v>61</v>
      </c>
      <c r="C2" s="73" t="s">
        <v>62</v>
      </c>
      <c r="D2" s="74" t="s">
        <v>63</v>
      </c>
      <c r="E2" s="74" t="s">
        <v>64</v>
      </c>
      <c r="F2" s="72">
        <v>1.23456789E8</v>
      </c>
      <c r="G2" s="73">
        <v>5.0</v>
      </c>
      <c r="H2" s="73">
        <v>4.0</v>
      </c>
      <c r="I2" s="75">
        <v>45682.0</v>
      </c>
      <c r="J2" s="76">
        <v>45658.0</v>
      </c>
      <c r="K2" s="76">
        <v>45688.0</v>
      </c>
    </row>
    <row r="3">
      <c r="A3" s="72">
        <v>2.0</v>
      </c>
      <c r="B3" s="74" t="s">
        <v>65</v>
      </c>
      <c r="C3" s="74" t="s">
        <v>66</v>
      </c>
      <c r="D3" s="74" t="s">
        <v>67</v>
      </c>
      <c r="E3" s="74" t="s">
        <v>68</v>
      </c>
      <c r="F3" s="72">
        <v>2.3456789E8</v>
      </c>
      <c r="G3" s="73">
        <v>5.0</v>
      </c>
      <c r="H3" s="73">
        <v>4.0</v>
      </c>
      <c r="I3" s="75">
        <v>45713.0</v>
      </c>
      <c r="J3" s="76">
        <v>45689.0</v>
      </c>
      <c r="K3" s="76">
        <v>45715.0</v>
      </c>
    </row>
    <row r="4">
      <c r="A4" s="72">
        <v>3.0</v>
      </c>
      <c r="B4" s="74" t="s">
        <v>4</v>
      </c>
      <c r="C4" s="74" t="s">
        <v>69</v>
      </c>
      <c r="D4" s="74" t="s">
        <v>70</v>
      </c>
      <c r="E4" s="74" t="s">
        <v>71</v>
      </c>
      <c r="F4" s="72">
        <v>3.45678901E8</v>
      </c>
      <c r="G4" s="73">
        <v>5.0</v>
      </c>
      <c r="H4" s="73">
        <v>4.0</v>
      </c>
      <c r="I4" s="75">
        <v>45741.0</v>
      </c>
      <c r="J4" s="76">
        <v>45717.0</v>
      </c>
      <c r="K4" s="76">
        <v>45747.0</v>
      </c>
    </row>
    <row r="5">
      <c r="A5" s="72">
        <v>4.0</v>
      </c>
      <c r="B5" s="74" t="s">
        <v>72</v>
      </c>
      <c r="C5" s="74" t="s">
        <v>73</v>
      </c>
      <c r="D5" s="74" t="s">
        <v>74</v>
      </c>
      <c r="E5" s="74" t="s">
        <v>75</v>
      </c>
      <c r="F5" s="72">
        <v>4.56789012E8</v>
      </c>
      <c r="G5" s="73">
        <v>10.0</v>
      </c>
      <c r="H5" s="73">
        <v>7.0</v>
      </c>
      <c r="I5" s="75">
        <v>45772.0</v>
      </c>
      <c r="J5" s="76">
        <v>45748.0</v>
      </c>
      <c r="K5" s="76">
        <v>45777.0</v>
      </c>
    </row>
    <row r="6">
      <c r="A6" s="72">
        <v>5.0</v>
      </c>
      <c r="B6" s="74" t="s">
        <v>76</v>
      </c>
      <c r="C6" s="74" t="s">
        <v>77</v>
      </c>
      <c r="D6" s="74" t="s">
        <v>78</v>
      </c>
      <c r="E6" s="74" t="s">
        <v>79</v>
      </c>
      <c r="F6" s="72">
        <v>5.67890123E8</v>
      </c>
      <c r="G6" s="73">
        <v>10.0</v>
      </c>
      <c r="H6" s="73">
        <v>7.0</v>
      </c>
      <c r="I6" s="75">
        <v>45802.0</v>
      </c>
      <c r="J6" s="76">
        <v>45778.0</v>
      </c>
      <c r="K6" s="76">
        <v>45808.0</v>
      </c>
    </row>
    <row r="7">
      <c r="A7" s="72">
        <v>6.0</v>
      </c>
      <c r="B7" s="74" t="s">
        <v>80</v>
      </c>
      <c r="C7" s="74" t="s">
        <v>81</v>
      </c>
      <c r="D7" s="74" t="s">
        <v>82</v>
      </c>
      <c r="E7" s="74" t="s">
        <v>83</v>
      </c>
      <c r="F7" s="72">
        <v>5.69831704E8</v>
      </c>
      <c r="G7" s="73">
        <v>10.0</v>
      </c>
      <c r="H7" s="73">
        <v>7.0</v>
      </c>
      <c r="I7" s="75">
        <v>45833.0</v>
      </c>
      <c r="J7" s="76">
        <v>45809.0</v>
      </c>
    </row>
    <row r="8">
      <c r="A8" s="72">
        <v>7.0</v>
      </c>
      <c r="B8" s="74" t="s">
        <v>84</v>
      </c>
      <c r="C8" s="74" t="s">
        <v>85</v>
      </c>
      <c r="D8" s="74" t="s">
        <v>86</v>
      </c>
      <c r="E8" s="74" t="s">
        <v>87</v>
      </c>
      <c r="F8" s="72">
        <v>6.97183465E8</v>
      </c>
      <c r="G8" s="73">
        <v>10.0</v>
      </c>
      <c r="H8" s="73">
        <v>7.0</v>
      </c>
      <c r="I8" s="75">
        <v>45863.0</v>
      </c>
      <c r="J8" s="76">
        <v>45839.0</v>
      </c>
    </row>
    <row r="9">
      <c r="A9" s="72">
        <v>8.0</v>
      </c>
      <c r="B9" s="74" t="s">
        <v>88</v>
      </c>
      <c r="C9" s="74" t="s">
        <v>89</v>
      </c>
      <c r="D9" s="74" t="s">
        <v>90</v>
      </c>
      <c r="E9" s="74" t="s">
        <v>91</v>
      </c>
      <c r="F9" s="72">
        <v>9.1627389E8</v>
      </c>
      <c r="G9" s="73">
        <v>10.0</v>
      </c>
      <c r="H9" s="73">
        <v>7.0</v>
      </c>
      <c r="I9" s="75">
        <v>45894.0</v>
      </c>
      <c r="J9" s="76">
        <v>45870.0</v>
      </c>
    </row>
    <row r="10">
      <c r="A10" s="72">
        <v>9.0</v>
      </c>
      <c r="B10" s="74" t="s">
        <v>92</v>
      </c>
      <c r="C10" s="74" t="s">
        <v>93</v>
      </c>
      <c r="D10" s="74" t="s">
        <v>94</v>
      </c>
      <c r="E10" s="74" t="s">
        <v>95</v>
      </c>
      <c r="F10" s="72">
        <v>6.78091123E8</v>
      </c>
      <c r="G10" s="73">
        <v>10.0</v>
      </c>
      <c r="H10" s="73">
        <v>7.0</v>
      </c>
      <c r="I10" s="75">
        <v>45925.0</v>
      </c>
      <c r="J10" s="76">
        <v>45901.0</v>
      </c>
    </row>
    <row r="11">
      <c r="A11" s="72">
        <v>10.0</v>
      </c>
      <c r="B11" s="74" t="s">
        <v>76</v>
      </c>
      <c r="C11" s="74" t="s">
        <v>96</v>
      </c>
      <c r="D11" s="74" t="s">
        <v>97</v>
      </c>
      <c r="E11" s="74" t="s">
        <v>98</v>
      </c>
      <c r="F11" s="72">
        <v>6.00745353E8</v>
      </c>
      <c r="G11" s="73">
        <v>10.0</v>
      </c>
      <c r="H11" s="73">
        <v>7.0</v>
      </c>
      <c r="I11" s="75">
        <v>45955.0</v>
      </c>
      <c r="J11" s="76">
        <v>45931.0</v>
      </c>
    </row>
    <row r="12">
      <c r="A12" s="72">
        <v>11.0</v>
      </c>
      <c r="B12" s="74" t="s">
        <v>99</v>
      </c>
      <c r="C12" s="74" t="s">
        <v>100</v>
      </c>
      <c r="D12" s="74" t="s">
        <v>101</v>
      </c>
      <c r="E12" s="74" t="s">
        <v>102</v>
      </c>
      <c r="F12" s="72">
        <v>6.54356892E8</v>
      </c>
      <c r="G12" s="73">
        <v>10.0</v>
      </c>
      <c r="H12" s="73">
        <v>7.0</v>
      </c>
      <c r="I12" s="75">
        <v>45986.0</v>
      </c>
      <c r="J12" s="76">
        <v>45962.0</v>
      </c>
    </row>
    <row r="13">
      <c r="A13" s="72">
        <v>12.0</v>
      </c>
      <c r="B13" s="74" t="s">
        <v>103</v>
      </c>
      <c r="C13" s="74" t="s">
        <v>73</v>
      </c>
      <c r="D13" s="74" t="s">
        <v>104</v>
      </c>
      <c r="E13" s="74" t="s">
        <v>105</v>
      </c>
      <c r="F13" s="72">
        <v>6.89036535E8</v>
      </c>
      <c r="G13" s="73">
        <v>10.0</v>
      </c>
      <c r="H13" s="73">
        <v>7.0</v>
      </c>
      <c r="I13" s="75">
        <v>46016.0</v>
      </c>
      <c r="J13" s="76">
        <v>45992.0</v>
      </c>
    </row>
    <row r="14">
      <c r="A14" s="72">
        <v>13.0</v>
      </c>
      <c r="B14" s="74" t="s">
        <v>106</v>
      </c>
      <c r="C14" s="74" t="s">
        <v>107</v>
      </c>
      <c r="D14" s="74" t="s">
        <v>108</v>
      </c>
      <c r="E14" s="74" t="s">
        <v>109</v>
      </c>
      <c r="F14" s="72">
        <v>6.97832893E8</v>
      </c>
      <c r="G14" s="73">
        <v>10.0</v>
      </c>
      <c r="H14" s="73">
        <v>7.0</v>
      </c>
      <c r="I14" s="75">
        <v>46047.0</v>
      </c>
      <c r="J14" s="76">
        <v>46023.0</v>
      </c>
    </row>
    <row r="15">
      <c r="A15" s="72">
        <v>14.0</v>
      </c>
      <c r="B15" s="74" t="s">
        <v>65</v>
      </c>
      <c r="C15" s="74" t="s">
        <v>110</v>
      </c>
      <c r="D15" s="74" t="s">
        <v>111</v>
      </c>
      <c r="E15" s="74" t="s">
        <v>112</v>
      </c>
      <c r="F15" s="72">
        <v>6.824659E8</v>
      </c>
      <c r="G15" s="73">
        <v>10.0</v>
      </c>
      <c r="H15" s="73">
        <v>7.0</v>
      </c>
      <c r="I15" s="75">
        <v>46078.0</v>
      </c>
      <c r="J15" s="76">
        <v>46054.0</v>
      </c>
    </row>
    <row r="16">
      <c r="A16" s="72">
        <v>15.0</v>
      </c>
      <c r="B16" s="74" t="s">
        <v>113</v>
      </c>
      <c r="C16" s="74" t="s">
        <v>114</v>
      </c>
      <c r="D16" s="74" t="s">
        <v>115</v>
      </c>
      <c r="E16" s="74" t="s">
        <v>116</v>
      </c>
      <c r="F16" s="72">
        <v>6.00736781E8</v>
      </c>
      <c r="G16" s="73">
        <v>4.0</v>
      </c>
      <c r="H16" s="73">
        <v>4.0</v>
      </c>
      <c r="I16" s="75">
        <v>46106.0</v>
      </c>
      <c r="J16" s="76">
        <v>46082.0</v>
      </c>
    </row>
    <row r="17">
      <c r="A17" s="72">
        <v>16.0</v>
      </c>
      <c r="B17" s="74" t="s">
        <v>117</v>
      </c>
      <c r="C17" s="74" t="s">
        <v>118</v>
      </c>
      <c r="D17" s="74" t="s">
        <v>119</v>
      </c>
      <c r="E17" s="74" t="s">
        <v>120</v>
      </c>
      <c r="F17" s="72">
        <v>6.23567809E8</v>
      </c>
      <c r="G17" s="73">
        <v>4.0</v>
      </c>
      <c r="H17" s="73">
        <v>4.0</v>
      </c>
      <c r="I17" s="75">
        <v>46137.0</v>
      </c>
      <c r="J17" s="76">
        <v>46113.0</v>
      </c>
    </row>
    <row r="18">
      <c r="A18" s="72">
        <v>17.0</v>
      </c>
      <c r="B18" s="74" t="s">
        <v>121</v>
      </c>
      <c r="C18" s="74" t="s">
        <v>122</v>
      </c>
      <c r="D18" s="74" t="s">
        <v>123</v>
      </c>
      <c r="E18" s="74" t="s">
        <v>124</v>
      </c>
      <c r="F18" s="72">
        <v>6.02348934E8</v>
      </c>
      <c r="G18" s="73">
        <v>4.0</v>
      </c>
      <c r="H18" s="73">
        <v>4.0</v>
      </c>
      <c r="I18" s="75">
        <v>46167.0</v>
      </c>
      <c r="J18" s="76">
        <v>46143.0</v>
      </c>
    </row>
    <row r="19">
      <c r="A19" s="72">
        <v>18.0</v>
      </c>
      <c r="B19" s="74" t="s">
        <v>125</v>
      </c>
      <c r="C19" s="74" t="s">
        <v>126</v>
      </c>
      <c r="D19" s="74" t="s">
        <v>127</v>
      </c>
      <c r="E19" s="74" t="s">
        <v>128</v>
      </c>
      <c r="F19" s="72">
        <v>6.89623157E8</v>
      </c>
      <c r="G19" s="73">
        <v>10.0</v>
      </c>
      <c r="H19" s="73">
        <v>7.0</v>
      </c>
      <c r="I19" s="75">
        <v>46198.0</v>
      </c>
      <c r="J19" s="76">
        <v>46174.0</v>
      </c>
    </row>
    <row r="20">
      <c r="A20" s="72">
        <v>19.0</v>
      </c>
      <c r="B20" s="74" t="s">
        <v>129</v>
      </c>
      <c r="C20" s="74" t="s">
        <v>130</v>
      </c>
      <c r="D20" s="74" t="s">
        <v>131</v>
      </c>
      <c r="E20" s="74" t="s">
        <v>132</v>
      </c>
      <c r="F20" s="72">
        <v>6.5145568E7</v>
      </c>
      <c r="G20" s="73">
        <v>10.0</v>
      </c>
      <c r="H20" s="73">
        <v>7.0</v>
      </c>
      <c r="I20" s="75">
        <v>46228.0</v>
      </c>
      <c r="J20" s="76">
        <v>46204.0</v>
      </c>
    </row>
    <row r="21">
      <c r="A21" s="72">
        <v>20.0</v>
      </c>
      <c r="B21" s="74" t="s">
        <v>133</v>
      </c>
      <c r="C21" s="74" t="s">
        <v>134</v>
      </c>
      <c r="D21" s="74" t="s">
        <v>135</v>
      </c>
      <c r="E21" s="74" t="s">
        <v>136</v>
      </c>
      <c r="F21" s="72">
        <v>6.60958475E8</v>
      </c>
      <c r="G21" s="73">
        <v>10.0</v>
      </c>
      <c r="H21" s="73">
        <v>7.0</v>
      </c>
      <c r="I21" s="75">
        <v>46259.0</v>
      </c>
      <c r="J21" s="76">
        <v>46235.0</v>
      </c>
    </row>
    <row r="22">
      <c r="A22" s="72">
        <v>21.0</v>
      </c>
      <c r="B22" s="74" t="s">
        <v>137</v>
      </c>
      <c r="C22" s="74" t="s">
        <v>138</v>
      </c>
      <c r="D22" s="74" t="s">
        <v>139</v>
      </c>
      <c r="E22" s="74" t="s">
        <v>140</v>
      </c>
      <c r="F22" s="72">
        <v>6.10131022E8</v>
      </c>
      <c r="G22" s="73">
        <v>10.0</v>
      </c>
      <c r="H22" s="73">
        <v>7.0</v>
      </c>
      <c r="I22" s="75">
        <v>46290.0</v>
      </c>
      <c r="J22" s="76">
        <v>46266.0</v>
      </c>
    </row>
    <row r="23">
      <c r="A23" s="72">
        <v>22.0</v>
      </c>
      <c r="B23" s="74" t="s">
        <v>141</v>
      </c>
      <c r="C23" s="74" t="s">
        <v>142</v>
      </c>
      <c r="D23" s="74" t="s">
        <v>143</v>
      </c>
      <c r="E23" s="74" t="s">
        <v>144</v>
      </c>
      <c r="F23" s="72">
        <v>6.78980356E8</v>
      </c>
      <c r="G23" s="73">
        <v>2.0</v>
      </c>
      <c r="H23" s="73">
        <v>2.0</v>
      </c>
      <c r="I23" s="75">
        <v>46320.0</v>
      </c>
      <c r="J23" s="76">
        <v>46296.0</v>
      </c>
    </row>
  </sheetData>
  <drawing r:id="rId1"/>
</worksheet>
</file>