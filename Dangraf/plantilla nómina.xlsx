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\Documents\GitHub\DangrafWeb\Dangraf\"/>
    </mc:Choice>
  </mc:AlternateContent>
  <xr:revisionPtr revIDLastSave="0" documentId="13_ncr:1_{5810512B-9449-4F5C-B7F9-D1F3495764C0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Nomina2" sheetId="1" r:id="rId1"/>
    <sheet name="Hoja 1" sheetId="2" r:id="rId2"/>
  </sheets>
  <definedNames>
    <definedName name="_xlnm._FilterDatabase" localSheetId="0" hidden="1">Nomina2!$B$1:$G$26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G13" i="1" s="1"/>
  <c r="G12" i="1"/>
  <c r="G11" i="1"/>
  <c r="D26" i="1"/>
  <c r="G7" i="1"/>
  <c r="D8" i="1"/>
  <c r="G6" i="1"/>
  <c r="G5" i="1"/>
  <c r="G4" i="1"/>
  <c r="F3" i="1"/>
  <c r="G2" i="1"/>
  <c r="E8" i="1"/>
  <c r="G14" i="1" l="1"/>
  <c r="G19" i="1" l="1"/>
  <c r="G22" i="1" s="1"/>
  <c r="G24" i="1" s="1"/>
  <c r="G18" i="1"/>
  <c r="G35" i="1"/>
  <c r="G33" i="1"/>
</calcChain>
</file>

<file path=xl/sharedStrings.xml><?xml version="1.0" encoding="utf-8"?>
<sst xmlns="http://schemas.openxmlformats.org/spreadsheetml/2006/main" count="85" uniqueCount="81">
  <si>
    <t>EMPRESA</t>
  </si>
  <si>
    <t>TRABAJADOR/A</t>
  </si>
  <si>
    <t>Nombre:</t>
  </si>
  <si>
    <t>DNI:</t>
  </si>
  <si>
    <t>CIF: S2816001H</t>
  </si>
  <si>
    <t>Número afiliación a la S.S:</t>
  </si>
  <si>
    <t>Categoría o grupo profesional:</t>
  </si>
  <si>
    <t>Grupo de cotización:</t>
  </si>
  <si>
    <t>Fecha de ingreso en la empresa:</t>
  </si>
  <si>
    <t>Periodo de liquidación:</t>
  </si>
  <si>
    <t>Total días:</t>
  </si>
  <si>
    <t>MES-30</t>
  </si>
  <si>
    <t>DEVENGOS</t>
  </si>
  <si>
    <t>CANTIDAD</t>
  </si>
  <si>
    <t>PRECIO</t>
  </si>
  <si>
    <t>TOTALES</t>
  </si>
  <si>
    <t>Percepciones salariales:</t>
  </si>
  <si>
    <t>Salario base</t>
  </si>
  <si>
    <t>Complemento de ajuste</t>
  </si>
  <si>
    <t>Antigüedad</t>
  </si>
  <si>
    <t>TOTAL DEVENGADO</t>
  </si>
  <si>
    <t>DEDUCCIONES</t>
  </si>
  <si>
    <t>Aportación del trabajador a las cotizaciones de la Seguridad Social:</t>
  </si>
  <si>
    <t>Contingencias comunes</t>
  </si>
  <si>
    <t>Retenciones a cuenta de IRPF</t>
  </si>
  <si>
    <t>Otras deducciones</t>
  </si>
  <si>
    <t>TOTAL A DEDUCIR</t>
  </si>
  <si>
    <t>LIQUIDO A PERCIBIR</t>
  </si>
  <si>
    <t>Fecha de ingreso de la nómina:</t>
  </si>
  <si>
    <t>Entidad financiera (banco):</t>
  </si>
  <si>
    <t>Número de cuenta:</t>
  </si>
  <si>
    <t>**************001</t>
  </si>
  <si>
    <t>DETERMINACIÓN BASES COTIZACIÓN A LA SEGURIDAD SOCIAL</t>
  </si>
  <si>
    <t>TOTAL BASE S.S.</t>
  </si>
  <si>
    <t>Base de cotización de contingencias profesionales</t>
  </si>
  <si>
    <t>Base de horas extras</t>
  </si>
  <si>
    <t>Base sujeta a retención del IRPF</t>
  </si>
  <si>
    <t>Nombre</t>
  </si>
  <si>
    <t>Apellidos</t>
  </si>
  <si>
    <t>Dirección</t>
  </si>
  <si>
    <t>DNI</t>
  </si>
  <si>
    <t>Seg. Social</t>
  </si>
  <si>
    <t>Cat. grupo</t>
  </si>
  <si>
    <t>cotización</t>
  </si>
  <si>
    <t>mes-año</t>
  </si>
  <si>
    <t>inicio fecha</t>
  </si>
  <si>
    <t>fin fecha</t>
  </si>
  <si>
    <t>Luis</t>
  </si>
  <si>
    <t>Elena</t>
  </si>
  <si>
    <t>98765432A</t>
  </si>
  <si>
    <t>Paula</t>
  </si>
  <si>
    <t>Díaz Martín</t>
  </si>
  <si>
    <t>González Reyes</t>
  </si>
  <si>
    <t>87654321B</t>
  </si>
  <si>
    <t>Calle Estrella 7</t>
  </si>
  <si>
    <t>Calle Árbol 10</t>
  </si>
  <si>
    <t>Calle Sol 3</t>
  </si>
  <si>
    <t>Calle Rosa 5</t>
  </si>
  <si>
    <t>Calle Luna 2</t>
  </si>
  <si>
    <t>Calle Mar 18</t>
  </si>
  <si>
    <t>Calle Verde 21</t>
  </si>
  <si>
    <t>Sara</t>
  </si>
  <si>
    <t>Martín Pérez</t>
  </si>
  <si>
    <t>David</t>
  </si>
  <si>
    <t>Fernández Lopez</t>
  </si>
  <si>
    <t>Raquel</t>
  </si>
  <si>
    <t>Sánchez González</t>
  </si>
  <si>
    <t>Antonio</t>
  </si>
  <si>
    <t>López Martínez</t>
  </si>
  <si>
    <t>Ruiz García</t>
  </si>
  <si>
    <t>32109876G</t>
  </si>
  <si>
    <t>43210987F</t>
  </si>
  <si>
    <t>54321098E</t>
  </si>
  <si>
    <t>65432109D</t>
  </si>
  <si>
    <t>76543210C</t>
  </si>
  <si>
    <t>fecha incorporación</t>
  </si>
  <si>
    <t>Nombre: Escuela Infantil Jardín de Flores</t>
  </si>
  <si>
    <t>Santander</t>
  </si>
  <si>
    <t>Complemento</t>
  </si>
  <si>
    <t>Domicilio: Calle de José Calvo, 4, Madrid</t>
  </si>
  <si>
    <t>Cobro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</si>
</sst>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-yyyy"/>
    <numFmt numFmtId="165" formatCode="d/mm/yyyy"/>
    <numFmt numFmtId="166" formatCode="#,##0.00\ [$€-1]"/>
    <numFmt numFmtId="167" formatCode="0.0%"/>
    <numFmt numFmtId="168" formatCode="mmmm\-d"/>
  </numFmts>
  <fonts count="14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name val="Arial"/>
    </font>
    <font>
      <sz val="10"/>
      <color theme="1"/>
      <name val="Arial"/>
    </font>
    <font>
      <sz val="8"/>
      <color theme="1"/>
      <name val="Arial"/>
    </font>
    <font>
      <i/>
      <sz val="10"/>
      <color theme="1"/>
      <name val="Arial"/>
    </font>
    <font>
      <i/>
      <sz val="10"/>
      <color rgb="FF000000"/>
      <name val="Arial"/>
    </font>
    <font>
      <i/>
      <sz val="8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color theme="1"/>
      <name val="Arial"/>
      <family val="2"/>
    </font>
    <font>
      <i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/>
    <xf numFmtId="0" fontId="3" fillId="0" borderId="0" xfId="0" applyFont="1"/>
    <xf numFmtId="0" fontId="3" fillId="0" borderId="7" xfId="0" applyFont="1" applyBorder="1"/>
    <xf numFmtId="0" fontId="3" fillId="0" borderId="7" xfId="0" applyFont="1" applyBorder="1" applyAlignment="1">
      <alignment horizontal="center"/>
    </xf>
    <xf numFmtId="0" fontId="4" fillId="0" borderId="8" xfId="0" applyFont="1" applyBorder="1"/>
    <xf numFmtId="0" fontId="3" fillId="0" borderId="9" xfId="0" applyFont="1" applyBorder="1"/>
    <xf numFmtId="0" fontId="4" fillId="0" borderId="10" xfId="0" applyFont="1" applyBorder="1"/>
    <xf numFmtId="14" fontId="3" fillId="0" borderId="11" xfId="0" applyNumberFormat="1" applyFont="1" applyBorder="1" applyAlignment="1">
      <alignment horizontal="center"/>
    </xf>
    <xf numFmtId="0" fontId="3" fillId="0" borderId="12" xfId="0" applyFont="1" applyBorder="1"/>
    <xf numFmtId="164" fontId="3" fillId="0" borderId="2" xfId="0" applyNumberFormat="1" applyFont="1" applyBorder="1" applyAlignment="1">
      <alignment horizontal="center"/>
    </xf>
    <xf numFmtId="165" fontId="5" fillId="0" borderId="2" xfId="0" applyNumberFormat="1" applyFont="1" applyBorder="1"/>
    <xf numFmtId="0" fontId="3" fillId="0" borderId="2" xfId="0" applyFont="1" applyBorder="1"/>
    <xf numFmtId="0" fontId="3" fillId="0" borderId="13" xfId="0" applyFont="1" applyBorder="1"/>
    <xf numFmtId="0" fontId="1" fillId="2" borderId="14" xfId="0" applyFont="1" applyFill="1" applyBorder="1" applyAlignment="1">
      <alignment horizontal="center"/>
    </xf>
    <xf numFmtId="0" fontId="4" fillId="2" borderId="15" xfId="0" applyFont="1" applyFill="1" applyBorder="1"/>
    <xf numFmtId="0" fontId="4" fillId="2" borderId="16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0" borderId="4" xfId="0" applyFont="1" applyBorder="1"/>
    <xf numFmtId="0" fontId="4" fillId="0" borderId="7" xfId="0" applyFont="1" applyBorder="1"/>
    <xf numFmtId="166" fontId="5" fillId="0" borderId="7" xfId="0" applyNumberFormat="1" applyFont="1" applyBorder="1"/>
    <xf numFmtId="0" fontId="1" fillId="0" borderId="12" xfId="0" applyFont="1" applyBorder="1"/>
    <xf numFmtId="0" fontId="4" fillId="0" borderId="2" xfId="0" applyFont="1" applyBorder="1"/>
    <xf numFmtId="166" fontId="5" fillId="0" borderId="13" xfId="0" applyNumberFormat="1" applyFont="1" applyBorder="1"/>
    <xf numFmtId="167" fontId="5" fillId="0" borderId="0" xfId="0" applyNumberFormat="1" applyFont="1"/>
    <xf numFmtId="0" fontId="6" fillId="0" borderId="0" xfId="0" applyFont="1"/>
    <xf numFmtId="0" fontId="7" fillId="0" borderId="0" xfId="0" applyFont="1"/>
    <xf numFmtId="0" fontId="7" fillId="0" borderId="7" xfId="0" applyFont="1" applyBorder="1"/>
    <xf numFmtId="0" fontId="7" fillId="0" borderId="2" xfId="0" applyFont="1" applyBorder="1"/>
    <xf numFmtId="0" fontId="1" fillId="2" borderId="18" xfId="0" applyFont="1" applyFill="1" applyBorder="1"/>
    <xf numFmtId="0" fontId="3" fillId="2" borderId="16" xfId="0" applyFont="1" applyFill="1" applyBorder="1"/>
    <xf numFmtId="166" fontId="5" fillId="2" borderId="21" xfId="0" applyNumberFormat="1" applyFont="1" applyFill="1" applyBorder="1"/>
    <xf numFmtId="14" fontId="4" fillId="0" borderId="23" xfId="0" applyNumberFormat="1" applyFont="1" applyBorder="1" applyAlignment="1">
      <alignment horizontal="center"/>
    </xf>
    <xf numFmtId="0" fontId="4" fillId="0" borderId="23" xfId="0" applyFont="1" applyBorder="1"/>
    <xf numFmtId="0" fontId="3" fillId="0" borderId="25" xfId="0" applyFont="1" applyBorder="1"/>
    <xf numFmtId="0" fontId="4" fillId="2" borderId="17" xfId="0" applyFont="1" applyFill="1" applyBorder="1"/>
    <xf numFmtId="166" fontId="3" fillId="0" borderId="7" xfId="0" applyNumberFormat="1" applyFont="1" applyBorder="1"/>
    <xf numFmtId="0" fontId="3" fillId="0" borderId="28" xfId="0" applyFont="1" applyBorder="1"/>
    <xf numFmtId="0" fontId="4" fillId="0" borderId="29" xfId="0" applyFont="1" applyBorder="1"/>
    <xf numFmtId="166" fontId="5" fillId="0" borderId="30" xfId="0" applyNumberFormat="1" applyFont="1" applyBorder="1"/>
    <xf numFmtId="0" fontId="8" fillId="0" borderId="0" xfId="0" applyFont="1"/>
    <xf numFmtId="0" fontId="9" fillId="0" borderId="0" xfId="0" applyFont="1" applyAlignment="1">
      <alignment horizontal="right"/>
    </xf>
    <xf numFmtId="0" fontId="9" fillId="0" borderId="0" xfId="0" applyFont="1"/>
    <xf numFmtId="168" fontId="8" fillId="0" borderId="0" xfId="0" applyNumberFormat="1" applyFont="1"/>
    <xf numFmtId="14" fontId="8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0" fillId="0" borderId="0" xfId="0"/>
    <xf numFmtId="0" fontId="1" fillId="0" borderId="12" xfId="0" applyFont="1" applyBorder="1"/>
    <xf numFmtId="0" fontId="3" fillId="0" borderId="0" xfId="0" applyFont="1" applyAlignment="1">
      <alignment horizontal="center"/>
    </xf>
    <xf numFmtId="0" fontId="3" fillId="0" borderId="22" xfId="0" applyFont="1" applyBorder="1"/>
    <xf numFmtId="0" fontId="2" fillId="0" borderId="23" xfId="0" applyFont="1" applyBorder="1"/>
    <xf numFmtId="0" fontId="1" fillId="2" borderId="26" xfId="0" applyFont="1" applyFill="1" applyBorder="1"/>
    <xf numFmtId="0" fontId="2" fillId="0" borderId="27" xfId="0" applyFont="1" applyBorder="1"/>
    <xf numFmtId="0" fontId="2" fillId="0" borderId="20" xfId="0" applyFont="1" applyBorder="1"/>
    <xf numFmtId="0" fontId="3" fillId="2" borderId="19" xfId="0" applyFont="1" applyFill="1" applyBorder="1" applyAlignment="1">
      <alignment horizontal="center"/>
    </xf>
    <xf numFmtId="0" fontId="3" fillId="0" borderId="23" xfId="0" applyFont="1" applyBorder="1" applyAlignment="1">
      <alignment horizontal="center" vertical="center"/>
    </xf>
    <xf numFmtId="0" fontId="2" fillId="0" borderId="24" xfId="0" applyFont="1" applyBorder="1"/>
    <xf numFmtId="0" fontId="2" fillId="0" borderId="10" xfId="0" applyFont="1" applyBorder="1"/>
    <xf numFmtId="0" fontId="2" fillId="0" borderId="11" xfId="0" applyFont="1" applyBorder="1"/>
    <xf numFmtId="14" fontId="0" fillId="0" borderId="0" xfId="0" applyNumberFormat="1"/>
    <xf numFmtId="0" fontId="10" fillId="0" borderId="0" xfId="0" applyFont="1"/>
    <xf numFmtId="0" fontId="11" fillId="0" borderId="0" xfId="0" applyFont="1"/>
    <xf numFmtId="0" fontId="10" fillId="0" borderId="4" xfId="0" applyFont="1" applyBorder="1"/>
    <xf numFmtId="0" fontId="3" fillId="0" borderId="26" xfId="0" applyFont="1" applyBorder="1"/>
    <xf numFmtId="0" fontId="0" fillId="0" borderId="27" xfId="0" applyBorder="1"/>
    <xf numFmtId="0" fontId="12" fillId="0" borderId="0" xfId="0" applyFont="1" applyAlignment="1">
      <alignment horizontal="center"/>
    </xf>
    <xf numFmtId="0" fontId="0" fillId="0" borderId="0" xfId="0" applyNumberFormat="1"/>
    <xf numFmtId="0" fontId="13" fillId="0" borderId="0" xfId="0" applyFont="1"/>
    <xf numFmtId="166" fontId="13" fillId="0" borderId="0" xfId="0" applyNumberFormat="1" applyFont="1"/>
    <xf numFmtId="166" fontId="13" fillId="0" borderId="7" xfId="0" applyNumberFormat="1" applyFont="1" applyBorder="1"/>
    <xf numFmtId="0" fontId="13" fillId="0" borderId="7" xfId="0" applyFont="1" applyBorder="1"/>
    <xf numFmtId="0" fontId="1" fillId="0" borderId="26" xfId="0" applyFont="1" applyBorder="1"/>
    <xf numFmtId="0" fontId="2" fillId="0" borderId="1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533400</xdr:colOff>
      <xdr:row>25</xdr:row>
      <xdr:rowOff>66674</xdr:rowOff>
    </xdr:from>
    <xdr:ext cx="647700" cy="3524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238625" y="5572124"/>
          <a:ext cx="647700" cy="3524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287"/>
  <sheetViews>
    <sheetView showGridLines="0" zoomScaleNormal="100" workbookViewId="0">
      <selection activeCell="F2" sqref="F2"/>
    </sheetView>
  </sheetViews>
  <sheetFormatPr baseColWidth="10" defaultColWidth="12.5703125" defaultRowHeight="15" customHeight="1" x14ac:dyDescent="0.2"/>
  <cols>
    <col min="1" max="1" width="3.28515625" customWidth="1"/>
    <col min="2" max="2" width="12.42578125" customWidth="1"/>
    <col min="3" max="3" width="16.28515625" customWidth="1"/>
    <col min="4" max="4" width="9.7109375" customWidth="1"/>
    <col min="5" max="5" width="13.85546875" customWidth="1"/>
    <col min="6" max="6" width="11.42578125" customWidth="1"/>
    <col min="7" max="7" width="16.85546875" bestFit="1" customWidth="1"/>
  </cols>
  <sheetData>
    <row r="1" spans="2:7" ht="12.75" x14ac:dyDescent="0.2">
      <c r="B1" s="49" t="s">
        <v>0</v>
      </c>
      <c r="C1" s="50"/>
      <c r="D1" s="51"/>
      <c r="E1" s="49" t="s">
        <v>1</v>
      </c>
      <c r="F1" s="50"/>
      <c r="G1" s="51"/>
    </row>
    <row r="2" spans="2:7" ht="12.75" x14ac:dyDescent="0.2">
      <c r="B2" s="68" t="s">
        <v>76</v>
      </c>
      <c r="C2" s="2"/>
      <c r="D2" s="3"/>
      <c r="E2" s="4" t="s">
        <v>2</v>
      </c>
      <c r="F2" s="5" t="s">
        <v>50</v>
      </c>
      <c r="G2" s="6" t="str">
        <f>VLOOKUP(F2,'Hoja 1'!B2:H8,2,FALSE)</f>
        <v>Díaz Martín</v>
      </c>
    </row>
    <row r="3" spans="2:7" ht="12.75" x14ac:dyDescent="0.2">
      <c r="B3" s="68" t="s">
        <v>79</v>
      </c>
      <c r="C3" s="2"/>
      <c r="D3" s="3"/>
      <c r="E3" s="4" t="s">
        <v>3</v>
      </c>
      <c r="F3" s="5" t="str">
        <f>VLOOKUP(F2,'Hoja 1'!B2:H8,4,FALSE)</f>
        <v>98765432A</v>
      </c>
      <c r="G3" s="6"/>
    </row>
    <row r="4" spans="2:7" ht="12.75" x14ac:dyDescent="0.2">
      <c r="B4" s="1" t="s">
        <v>4</v>
      </c>
      <c r="C4" s="2"/>
      <c r="D4" s="3"/>
      <c r="E4" s="4" t="s">
        <v>5</v>
      </c>
      <c r="F4" s="2"/>
      <c r="G4" s="6">
        <f>VLOOKUP(F2,'Hoja 1'!B2:H8,5,FALSE)</f>
        <v>123456789</v>
      </c>
    </row>
    <row r="5" spans="2:7" ht="12.75" x14ac:dyDescent="0.2">
      <c r="B5" s="69"/>
      <c r="C5" s="70"/>
      <c r="D5" s="3"/>
      <c r="E5" s="4" t="s">
        <v>6</v>
      </c>
      <c r="F5" s="2"/>
      <c r="G5" s="7">
        <f>VLOOKUP(F2,'Hoja 1'!B2:H8,6,FALSE)</f>
        <v>2</v>
      </c>
    </row>
    <row r="6" spans="2:7" ht="12.75" x14ac:dyDescent="0.2">
      <c r="B6" s="1"/>
      <c r="D6" s="3"/>
      <c r="E6" s="4" t="s">
        <v>7</v>
      </c>
      <c r="F6" s="2"/>
      <c r="G6" s="7">
        <f>VLOOKUP(F2,'Hoja 1'!B2:H8,7,FALSE)</f>
        <v>2</v>
      </c>
    </row>
    <row r="7" spans="2:7" ht="12.75" x14ac:dyDescent="0.2">
      <c r="B7" s="1"/>
      <c r="D7" s="8"/>
      <c r="E7" s="9" t="s">
        <v>8</v>
      </c>
      <c r="F7" s="10"/>
      <c r="G7" s="11">
        <f>VLOOKUP(F2,'Hoja 1'!B2:M8,10,FALSE)</f>
        <v>45688</v>
      </c>
    </row>
    <row r="8" spans="2:7" ht="12.75" x14ac:dyDescent="0.2">
      <c r="B8" s="12" t="s">
        <v>9</v>
      </c>
      <c r="C8" s="13">
        <v>45682</v>
      </c>
      <c r="D8" s="14">
        <f>VLOOKUP(C8,'Hoja 1'!I2:K13,2,FALSE)</f>
        <v>45658</v>
      </c>
      <c r="E8" s="14">
        <f>VLOOKUP(C8,'Hoja 1'!I2:K13,3,FALSE)</f>
        <v>45688</v>
      </c>
      <c r="F8" s="15" t="s">
        <v>10</v>
      </c>
      <c r="G8" s="16" t="s">
        <v>11</v>
      </c>
    </row>
    <row r="9" spans="2:7" ht="12.75" x14ac:dyDescent="0.2">
      <c r="B9" s="17" t="s">
        <v>12</v>
      </c>
      <c r="C9" s="18"/>
      <c r="D9" s="19"/>
      <c r="E9" s="20" t="s">
        <v>13</v>
      </c>
      <c r="F9" s="20" t="s">
        <v>14</v>
      </c>
      <c r="G9" s="21" t="s">
        <v>15</v>
      </c>
    </row>
    <row r="10" spans="2:7" ht="12.75" x14ac:dyDescent="0.2">
      <c r="B10" s="77" t="s">
        <v>16</v>
      </c>
      <c r="C10" s="70"/>
      <c r="D10" s="2"/>
      <c r="E10" s="2"/>
      <c r="F10" s="2"/>
      <c r="G10" s="23"/>
    </row>
    <row r="11" spans="2:7" ht="12.75" x14ac:dyDescent="0.2">
      <c r="B11" s="69" t="s">
        <v>17</v>
      </c>
      <c r="C11" s="70"/>
      <c r="D11" s="70"/>
      <c r="E11" s="73"/>
      <c r="F11" s="74"/>
      <c r="G11" s="75">
        <f>VLOOKUP(F2,'Hoja 1'!B2:N8,13,FALSE)</f>
        <v>1245</v>
      </c>
    </row>
    <row r="12" spans="2:7" ht="12.75" x14ac:dyDescent="0.2">
      <c r="B12" s="69" t="s">
        <v>18</v>
      </c>
      <c r="C12" s="70"/>
      <c r="D12" s="70"/>
      <c r="E12" s="73"/>
      <c r="F12" s="73"/>
      <c r="G12" s="76">
        <f>VLOOKUP(F2,'Hoja 1'!B2:O8,14,FALSE)</f>
        <v>50</v>
      </c>
    </row>
    <row r="13" spans="2:7" ht="12.75" x14ac:dyDescent="0.2">
      <c r="B13" s="1" t="s">
        <v>19</v>
      </c>
      <c r="C13" s="5"/>
      <c r="D13" s="5"/>
      <c r="E13" s="73">
        <f>VLOOKUP(F2,'Hoja 1'!B2:P8,15,FALSE)</f>
        <v>0</v>
      </c>
      <c r="F13" s="73">
        <v>10</v>
      </c>
      <c r="G13" s="76">
        <f>E13*F13</f>
        <v>0</v>
      </c>
    </row>
    <row r="14" spans="2:7" ht="12.75" x14ac:dyDescent="0.2">
      <c r="B14" s="53" t="s">
        <v>20</v>
      </c>
      <c r="C14" s="50"/>
      <c r="D14" s="26"/>
      <c r="E14" s="26"/>
      <c r="F14" s="26"/>
      <c r="G14" s="27">
        <f>SUM(G11:G13)</f>
        <v>1295</v>
      </c>
    </row>
    <row r="15" spans="2:7" ht="12.75" x14ac:dyDescent="0.2">
      <c r="B15" s="1"/>
      <c r="C15" s="2"/>
      <c r="D15" s="2"/>
      <c r="E15" s="2"/>
      <c r="F15" s="2"/>
      <c r="G15" s="23"/>
    </row>
    <row r="16" spans="2:7" ht="12.75" x14ac:dyDescent="0.2">
      <c r="B16" s="33" t="s">
        <v>21</v>
      </c>
      <c r="C16" s="19"/>
      <c r="D16" s="19"/>
      <c r="E16" s="20"/>
      <c r="F16" s="20"/>
      <c r="G16" s="21" t="s">
        <v>15</v>
      </c>
    </row>
    <row r="17" spans="2:7" ht="12.75" x14ac:dyDescent="0.2">
      <c r="B17" s="77" t="s">
        <v>22</v>
      </c>
      <c r="C17" s="70"/>
      <c r="D17" s="70"/>
      <c r="E17" s="70"/>
      <c r="F17" s="70"/>
      <c r="G17" s="6"/>
    </row>
    <row r="18" spans="2:7" ht="12.75" x14ac:dyDescent="0.2">
      <c r="B18" s="69" t="s">
        <v>23</v>
      </c>
      <c r="C18" s="70"/>
      <c r="D18" s="54"/>
      <c r="E18" s="52"/>
      <c r="F18" s="28">
        <v>4.7E-2</v>
      </c>
      <c r="G18" s="24">
        <f>(G14*F18)</f>
        <v>60.865000000000002</v>
      </c>
    </row>
    <row r="19" spans="2:7" ht="12.75" x14ac:dyDescent="0.2">
      <c r="B19" s="69" t="s">
        <v>24</v>
      </c>
      <c r="C19" s="70"/>
      <c r="D19" s="70"/>
      <c r="F19" s="28">
        <v>0.1487</v>
      </c>
      <c r="G19" s="24">
        <f>G14*F19</f>
        <v>192.56649999999999</v>
      </c>
    </row>
    <row r="20" spans="2:7" ht="12.75" x14ac:dyDescent="0.2">
      <c r="B20" s="69" t="s">
        <v>25</v>
      </c>
      <c r="C20" s="70"/>
      <c r="D20" s="70"/>
      <c r="F20" s="29"/>
      <c r="G20" s="24">
        <v>0</v>
      </c>
    </row>
    <row r="21" spans="2:7" ht="12.75" x14ac:dyDescent="0.2">
      <c r="B21" s="1"/>
      <c r="F21" s="30"/>
      <c r="G21" s="31"/>
    </row>
    <row r="22" spans="2:7" ht="12.75" x14ac:dyDescent="0.2">
      <c r="B22" s="25" t="s">
        <v>26</v>
      </c>
      <c r="C22" s="15"/>
      <c r="D22" s="15"/>
      <c r="E22" s="15"/>
      <c r="F22" s="32"/>
      <c r="G22" s="27">
        <f>SUM(G19:G20)</f>
        <v>192.56649999999999</v>
      </c>
    </row>
    <row r="23" spans="2:7" ht="12.75" x14ac:dyDescent="0.2">
      <c r="B23" s="1"/>
      <c r="C23" s="5"/>
      <c r="D23" s="5"/>
      <c r="E23" s="2"/>
      <c r="F23" s="2"/>
      <c r="G23" s="23"/>
    </row>
    <row r="24" spans="2:7" ht="12.75" x14ac:dyDescent="0.2">
      <c r="B24" s="33" t="s">
        <v>27</v>
      </c>
      <c r="C24" s="34"/>
      <c r="D24" s="60"/>
      <c r="E24" s="59"/>
      <c r="F24" s="19"/>
      <c r="G24" s="35">
        <f>G14-G22</f>
        <v>1102.4335000000001</v>
      </c>
    </row>
    <row r="25" spans="2:7" ht="12.75" x14ac:dyDescent="0.2">
      <c r="B25" s="1"/>
      <c r="C25" s="2"/>
      <c r="D25" s="2"/>
      <c r="E25" s="2"/>
      <c r="F25" s="2"/>
      <c r="G25" s="23"/>
    </row>
    <row r="26" spans="2:7" ht="12.75" x14ac:dyDescent="0.2">
      <c r="B26" s="55" t="s">
        <v>28</v>
      </c>
      <c r="C26" s="56"/>
      <c r="D26" s="36">
        <f>VLOOKUP(C8,'Hoja 1'!I2:L13,4,FALSE)</f>
        <v>45689</v>
      </c>
      <c r="E26" s="37"/>
      <c r="F26" s="61"/>
      <c r="G26" s="62"/>
    </row>
    <row r="27" spans="2:7" ht="12.75" x14ac:dyDescent="0.2">
      <c r="B27" s="1" t="s">
        <v>29</v>
      </c>
      <c r="C27" s="2"/>
      <c r="D27" s="71" t="s">
        <v>77</v>
      </c>
      <c r="E27" s="2"/>
      <c r="F27" s="70"/>
      <c r="G27" s="78"/>
    </row>
    <row r="28" spans="2:7" ht="12.75" x14ac:dyDescent="0.2">
      <c r="B28" s="38" t="s">
        <v>30</v>
      </c>
      <c r="C28" s="10"/>
      <c r="D28" s="10" t="s">
        <v>31</v>
      </c>
      <c r="E28" s="10"/>
      <c r="F28" s="63"/>
      <c r="G28" s="64"/>
    </row>
    <row r="29" spans="2:7" ht="12.75" x14ac:dyDescent="0.2">
      <c r="B29" s="1"/>
      <c r="C29" s="2"/>
      <c r="D29" s="2"/>
      <c r="E29" s="2"/>
      <c r="F29" s="2"/>
      <c r="G29" s="23"/>
    </row>
    <row r="30" spans="2:7" ht="12.75" x14ac:dyDescent="0.2">
      <c r="B30" s="57" t="s">
        <v>32</v>
      </c>
      <c r="C30" s="58"/>
      <c r="D30" s="58"/>
      <c r="E30" s="58"/>
      <c r="F30" s="59"/>
      <c r="G30" s="39"/>
    </row>
    <row r="31" spans="2:7" ht="12.75" x14ac:dyDescent="0.2">
      <c r="B31" s="22" t="s">
        <v>33</v>
      </c>
      <c r="C31" s="2"/>
      <c r="D31" s="2"/>
      <c r="E31" s="2"/>
      <c r="F31" s="2"/>
      <c r="G31" s="40"/>
    </row>
    <row r="32" spans="2:7" ht="12.75" x14ac:dyDescent="0.2">
      <c r="B32" s="1"/>
      <c r="C32" s="2"/>
      <c r="D32" s="2"/>
      <c r="E32" s="2"/>
      <c r="F32" s="2"/>
      <c r="G32" s="40"/>
    </row>
    <row r="33" spans="2:7" ht="12.75" x14ac:dyDescent="0.2">
      <c r="B33" s="1" t="s">
        <v>34</v>
      </c>
      <c r="C33" s="2"/>
      <c r="D33" s="2"/>
      <c r="E33" s="2"/>
      <c r="F33" s="2"/>
      <c r="G33" s="24">
        <f>G14</f>
        <v>1295</v>
      </c>
    </row>
    <row r="34" spans="2:7" ht="12.75" x14ac:dyDescent="0.2">
      <c r="B34" s="1" t="s">
        <v>35</v>
      </c>
      <c r="C34" s="2"/>
      <c r="D34" s="2"/>
      <c r="E34" s="2"/>
      <c r="F34" s="2"/>
      <c r="G34" s="40"/>
    </row>
    <row r="35" spans="2:7" ht="12.75" x14ac:dyDescent="0.2">
      <c r="B35" s="41" t="s">
        <v>36</v>
      </c>
      <c r="C35" s="42"/>
      <c r="D35" s="42"/>
      <c r="E35" s="42"/>
      <c r="F35" s="42"/>
      <c r="G35" s="43">
        <f>G14</f>
        <v>1295</v>
      </c>
    </row>
    <row r="36" spans="2:7" ht="12.75" x14ac:dyDescent="0.2"/>
    <row r="37" spans="2:7" ht="12.75" x14ac:dyDescent="0.2"/>
    <row r="38" spans="2:7" ht="12.75" x14ac:dyDescent="0.2"/>
    <row r="39" spans="2:7" ht="12.75" x14ac:dyDescent="0.2"/>
    <row r="40" spans="2:7" ht="12.75" x14ac:dyDescent="0.2"/>
    <row r="41" spans="2:7" ht="12.75" x14ac:dyDescent="0.2"/>
    <row r="42" spans="2:7" ht="12.75" x14ac:dyDescent="0.2"/>
    <row r="43" spans="2:7" ht="12.75" x14ac:dyDescent="0.2"/>
    <row r="44" spans="2:7" ht="12.75" x14ac:dyDescent="0.2"/>
    <row r="45" spans="2:7" ht="12.75" x14ac:dyDescent="0.2"/>
    <row r="46" spans="2:7" ht="15.75" customHeight="1" x14ac:dyDescent="0.2"/>
    <row r="47" spans="2:7" ht="15.75" customHeight="1" x14ac:dyDescent="0.2"/>
    <row r="48" spans="2:7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</sheetData>
  <mergeCells count="16">
    <mergeCell ref="B11:D11"/>
    <mergeCell ref="B10:C10"/>
    <mergeCell ref="B5:C5"/>
    <mergeCell ref="F26:G28"/>
    <mergeCell ref="D24:E24"/>
    <mergeCell ref="B20:D20"/>
    <mergeCell ref="B19:D19"/>
    <mergeCell ref="B18:C18"/>
    <mergeCell ref="B30:F30"/>
    <mergeCell ref="B14:C14"/>
    <mergeCell ref="B17:F17"/>
    <mergeCell ref="D18:E18"/>
    <mergeCell ref="B26:C26"/>
    <mergeCell ref="B12:D12"/>
    <mergeCell ref="B1:D1"/>
    <mergeCell ref="E1:G1"/>
  </mergeCells>
  <pageMargins left="0.7" right="0.7" top="0.75" bottom="0.75" header="0" footer="0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'Hoja 1'!$B$2:$B$8</xm:f>
          </x14:formula1>
          <xm:sqref>F2</xm:sqref>
        </x14:dataValidation>
        <x14:dataValidation type="list" allowBlank="1" showErrorMessage="1" xr:uid="{00000000-0002-0000-0000-000001000000}">
          <x14:formula1>
            <xm:f>'Hoja 1'!$I$2:$I$13</xm:f>
          </x14:formula1>
          <xm:sqref>C8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23"/>
  <sheetViews>
    <sheetView tabSelected="1" workbookViewId="0">
      <selection activeCell="N2" sqref="N2"/>
    </sheetView>
  </sheetViews>
  <sheetFormatPr baseColWidth="10" defaultColWidth="12.5703125" defaultRowHeight="15" customHeight="1" x14ac:dyDescent="0.2"/>
  <cols>
    <col min="1" max="1" width="7.7109375" customWidth="1"/>
    <col min="3" max="3" width="16.85546875" bestFit="1" customWidth="1"/>
    <col min="4" max="4" width="13.5703125" bestFit="1" customWidth="1"/>
    <col min="12" max="12" width="12.5703125" customWidth="1"/>
    <col min="13" max="13" width="17.140625" bestFit="1" customWidth="1"/>
  </cols>
  <sheetData>
    <row r="1" spans="1:16" ht="12.75" x14ac:dyDescent="0.2">
      <c r="B1" s="44" t="s">
        <v>37</v>
      </c>
      <c r="C1" s="44" t="s">
        <v>38</v>
      </c>
      <c r="D1" s="44" t="s">
        <v>39</v>
      </c>
      <c r="E1" s="44" t="s">
        <v>40</v>
      </c>
      <c r="F1" s="44" t="s">
        <v>41</v>
      </c>
      <c r="G1" s="44" t="s">
        <v>42</v>
      </c>
      <c r="H1" s="44" t="s">
        <v>43</v>
      </c>
      <c r="I1" s="44" t="s">
        <v>44</v>
      </c>
      <c r="J1" s="44" t="s">
        <v>45</v>
      </c>
      <c r="K1" s="44" t="s">
        <v>46</v>
      </c>
      <c r="L1" s="67" t="s">
        <v>80</v>
      </c>
      <c r="M1" s="67" t="s">
        <v>75</v>
      </c>
      <c r="N1" s="67" t="s">
        <v>17</v>
      </c>
      <c r="O1" s="67" t="s">
        <v>78</v>
      </c>
      <c r="P1" s="67" t="s">
        <v>19</v>
      </c>
    </row>
    <row r="2" spans="1:16" ht="12.75" x14ac:dyDescent="0.2">
      <c r="A2" s="45">
        <v>1</v>
      </c>
      <c r="B2" s="66" t="s">
        <v>50</v>
      </c>
      <c r="C2" s="66" t="s">
        <v>51</v>
      </c>
      <c r="D2" s="46" t="s">
        <v>54</v>
      </c>
      <c r="E2" s="46" t="s">
        <v>49</v>
      </c>
      <c r="F2" s="45">
        <v>123456789</v>
      </c>
      <c r="G2" s="46">
        <v>2</v>
      </c>
      <c r="H2" s="46">
        <v>2</v>
      </c>
      <c r="I2" s="47">
        <v>45682</v>
      </c>
      <c r="J2" s="48">
        <v>45658</v>
      </c>
      <c r="K2" s="48">
        <v>45688</v>
      </c>
      <c r="L2" s="48">
        <v>45689</v>
      </c>
      <c r="M2" s="65">
        <v>44936</v>
      </c>
      <c r="N2" s="72">
        <v>1245</v>
      </c>
      <c r="O2">
        <v>50</v>
      </c>
      <c r="P2">
        <v>0</v>
      </c>
    </row>
    <row r="3" spans="1:16" ht="12.75" x14ac:dyDescent="0.2">
      <c r="A3" s="45">
        <v>2</v>
      </c>
      <c r="B3" s="66" t="s">
        <v>47</v>
      </c>
      <c r="C3" s="46" t="s">
        <v>52</v>
      </c>
      <c r="D3" s="46" t="s">
        <v>55</v>
      </c>
      <c r="E3" s="46" t="s">
        <v>53</v>
      </c>
      <c r="F3" s="45">
        <v>234567890</v>
      </c>
      <c r="G3" s="46">
        <v>6</v>
      </c>
      <c r="H3" s="46">
        <v>5</v>
      </c>
      <c r="I3" s="47">
        <v>45713</v>
      </c>
      <c r="J3" s="48">
        <v>45689</v>
      </c>
      <c r="K3" s="48">
        <v>45716</v>
      </c>
      <c r="L3" s="48">
        <v>45717</v>
      </c>
      <c r="M3" s="65">
        <v>44809</v>
      </c>
      <c r="N3">
        <v>1400</v>
      </c>
      <c r="O3">
        <v>0</v>
      </c>
      <c r="P3">
        <v>0</v>
      </c>
    </row>
    <row r="4" spans="1:16" ht="12.75" x14ac:dyDescent="0.2">
      <c r="A4" s="45">
        <v>3</v>
      </c>
      <c r="B4" s="46" t="s">
        <v>61</v>
      </c>
      <c r="C4" s="46" t="s">
        <v>62</v>
      </c>
      <c r="D4" s="46" t="s">
        <v>56</v>
      </c>
      <c r="E4" s="46" t="s">
        <v>74</v>
      </c>
      <c r="F4" s="45">
        <v>345678901</v>
      </c>
      <c r="G4" s="46">
        <v>2</v>
      </c>
      <c r="H4" s="46">
        <v>1</v>
      </c>
      <c r="I4" s="47">
        <v>45741</v>
      </c>
      <c r="J4" s="48">
        <v>45717</v>
      </c>
      <c r="K4" s="48">
        <v>45747</v>
      </c>
      <c r="L4" s="48">
        <v>45748</v>
      </c>
      <c r="M4" s="65">
        <v>44365</v>
      </c>
      <c r="N4">
        <v>1500</v>
      </c>
      <c r="O4">
        <v>60</v>
      </c>
      <c r="P4">
        <v>1</v>
      </c>
    </row>
    <row r="5" spans="1:16" ht="12.75" x14ac:dyDescent="0.2">
      <c r="A5" s="45">
        <v>4</v>
      </c>
      <c r="B5" s="46" t="s">
        <v>63</v>
      </c>
      <c r="C5" s="46" t="s">
        <v>64</v>
      </c>
      <c r="D5" s="46" t="s">
        <v>57</v>
      </c>
      <c r="E5" s="46" t="s">
        <v>73</v>
      </c>
      <c r="F5" s="45">
        <v>456789012</v>
      </c>
      <c r="G5" s="46">
        <v>1</v>
      </c>
      <c r="H5" s="46">
        <v>1</v>
      </c>
      <c r="I5" s="47">
        <v>45772</v>
      </c>
      <c r="J5" s="48">
        <v>45748</v>
      </c>
      <c r="K5" s="48">
        <v>45777</v>
      </c>
      <c r="L5" s="48">
        <v>45778</v>
      </c>
      <c r="M5" s="65">
        <v>43915</v>
      </c>
      <c r="N5">
        <v>2500</v>
      </c>
      <c r="O5">
        <v>200</v>
      </c>
      <c r="P5">
        <v>1</v>
      </c>
    </row>
    <row r="6" spans="1:16" ht="12.75" x14ac:dyDescent="0.2">
      <c r="A6" s="45">
        <v>5</v>
      </c>
      <c r="B6" s="46" t="s">
        <v>65</v>
      </c>
      <c r="C6" s="46" t="s">
        <v>66</v>
      </c>
      <c r="D6" s="46" t="s">
        <v>58</v>
      </c>
      <c r="E6" s="46" t="s">
        <v>72</v>
      </c>
      <c r="F6" s="45">
        <v>567890123</v>
      </c>
      <c r="G6" s="46">
        <v>2</v>
      </c>
      <c r="H6" s="46">
        <v>2</v>
      </c>
      <c r="I6" s="47">
        <v>45802</v>
      </c>
      <c r="J6" s="48">
        <v>45778</v>
      </c>
      <c r="K6" s="48">
        <v>45808</v>
      </c>
      <c r="L6" s="48">
        <v>45809</v>
      </c>
      <c r="M6" s="65">
        <v>44867</v>
      </c>
      <c r="N6" s="72">
        <v>1245</v>
      </c>
      <c r="O6">
        <v>50</v>
      </c>
      <c r="P6">
        <v>0</v>
      </c>
    </row>
    <row r="7" spans="1:16" ht="12.75" x14ac:dyDescent="0.2">
      <c r="A7" s="45">
        <v>6</v>
      </c>
      <c r="B7" s="46" t="s">
        <v>67</v>
      </c>
      <c r="C7" s="46" t="s">
        <v>68</v>
      </c>
      <c r="D7" s="46" t="s">
        <v>59</v>
      </c>
      <c r="E7" s="46" t="s">
        <v>71</v>
      </c>
      <c r="F7" s="45">
        <v>569831704</v>
      </c>
      <c r="G7" s="46">
        <v>4</v>
      </c>
      <c r="H7" s="46">
        <v>4</v>
      </c>
      <c r="I7" s="47">
        <v>45833</v>
      </c>
      <c r="J7" s="48">
        <v>45809</v>
      </c>
      <c r="K7" s="65">
        <v>45838</v>
      </c>
      <c r="L7" s="48">
        <v>45839</v>
      </c>
      <c r="M7" s="65">
        <v>44331</v>
      </c>
      <c r="N7" s="72">
        <v>1510</v>
      </c>
      <c r="O7">
        <v>40</v>
      </c>
      <c r="P7">
        <v>1</v>
      </c>
    </row>
    <row r="8" spans="1:16" ht="12.75" x14ac:dyDescent="0.2">
      <c r="A8" s="45">
        <v>7</v>
      </c>
      <c r="B8" s="46" t="s">
        <v>48</v>
      </c>
      <c r="C8" s="46" t="s">
        <v>69</v>
      </c>
      <c r="D8" s="46" t="s">
        <v>60</v>
      </c>
      <c r="E8" s="46" t="s">
        <v>70</v>
      </c>
      <c r="F8" s="45">
        <v>697183465</v>
      </c>
      <c r="G8" s="46">
        <v>2</v>
      </c>
      <c r="H8" s="46">
        <v>2</v>
      </c>
      <c r="I8" s="47">
        <v>45863</v>
      </c>
      <c r="J8" s="48">
        <v>45839</v>
      </c>
      <c r="K8" s="65">
        <v>45869</v>
      </c>
      <c r="L8" s="48">
        <v>45870</v>
      </c>
      <c r="M8" s="65">
        <v>44985</v>
      </c>
      <c r="N8" s="72">
        <v>1245</v>
      </c>
      <c r="O8">
        <v>50</v>
      </c>
      <c r="P8">
        <v>0</v>
      </c>
    </row>
    <row r="9" spans="1:16" ht="12.75" x14ac:dyDescent="0.2">
      <c r="A9" s="45"/>
      <c r="B9" s="46"/>
      <c r="C9" s="46"/>
      <c r="D9" s="46"/>
      <c r="E9" s="46"/>
      <c r="F9" s="45"/>
      <c r="G9" s="46"/>
      <c r="H9" s="46"/>
      <c r="I9" s="47">
        <v>45894</v>
      </c>
      <c r="J9" s="48">
        <v>45870</v>
      </c>
      <c r="K9" s="65">
        <v>45900</v>
      </c>
      <c r="L9" s="48">
        <v>45901</v>
      </c>
    </row>
    <row r="10" spans="1:16" ht="12.75" x14ac:dyDescent="0.2">
      <c r="A10" s="45"/>
      <c r="B10" s="46"/>
      <c r="C10" s="46"/>
      <c r="D10" s="46"/>
      <c r="E10" s="46"/>
      <c r="F10" s="45"/>
      <c r="G10" s="46"/>
      <c r="H10" s="46"/>
      <c r="I10" s="47">
        <v>45925</v>
      </c>
      <c r="J10" s="48">
        <v>45901</v>
      </c>
      <c r="K10" s="65">
        <v>45930</v>
      </c>
      <c r="L10" s="48">
        <v>45931</v>
      </c>
    </row>
    <row r="11" spans="1:16" ht="12.75" x14ac:dyDescent="0.2">
      <c r="A11" s="45"/>
      <c r="B11" s="46"/>
      <c r="C11" s="46"/>
      <c r="D11" s="46"/>
      <c r="E11" s="46"/>
      <c r="F11" s="45"/>
      <c r="G11" s="46"/>
      <c r="H11" s="46"/>
      <c r="I11" s="47">
        <v>45955</v>
      </c>
      <c r="J11" s="48">
        <v>45931</v>
      </c>
      <c r="K11" s="65">
        <v>45961</v>
      </c>
      <c r="L11" s="48">
        <v>45962</v>
      </c>
    </row>
    <row r="12" spans="1:16" ht="12.75" x14ac:dyDescent="0.2">
      <c r="A12" s="45"/>
      <c r="B12" s="46"/>
      <c r="C12" s="46"/>
      <c r="D12" s="46"/>
      <c r="E12" s="46"/>
      <c r="F12" s="45"/>
      <c r="G12" s="46"/>
      <c r="H12" s="46"/>
      <c r="I12" s="47">
        <v>45986</v>
      </c>
      <c r="J12" s="48">
        <v>45962</v>
      </c>
      <c r="K12" s="65">
        <v>45991</v>
      </c>
      <c r="L12" s="48">
        <v>45992</v>
      </c>
    </row>
    <row r="13" spans="1:16" ht="12.75" x14ac:dyDescent="0.2">
      <c r="A13" s="45"/>
      <c r="B13" s="46"/>
      <c r="C13" s="46"/>
      <c r="D13" s="46"/>
      <c r="E13" s="46"/>
      <c r="F13" s="45"/>
      <c r="G13" s="46"/>
      <c r="H13" s="46"/>
      <c r="I13" s="47">
        <v>46016</v>
      </c>
      <c r="J13" s="48">
        <v>45992</v>
      </c>
      <c r="K13" s="65">
        <v>46022</v>
      </c>
      <c r="L13" s="48">
        <v>46023</v>
      </c>
    </row>
    <row r="14" spans="1:16" ht="12.75" x14ac:dyDescent="0.2">
      <c r="A14" s="45"/>
      <c r="B14" s="46"/>
      <c r="C14" s="46"/>
      <c r="D14" s="46"/>
      <c r="E14" s="46"/>
      <c r="F14" s="45"/>
      <c r="G14" s="46"/>
      <c r="H14" s="46"/>
      <c r="I14" s="47"/>
      <c r="J14" s="48"/>
      <c r="K14" s="65"/>
    </row>
    <row r="15" spans="1:16" ht="12.75" x14ac:dyDescent="0.2">
      <c r="A15" s="45"/>
      <c r="B15" s="46"/>
      <c r="C15" s="46"/>
      <c r="D15" s="46"/>
      <c r="E15" s="46"/>
      <c r="F15" s="45"/>
      <c r="G15" s="46"/>
      <c r="H15" s="46"/>
      <c r="I15" s="47"/>
      <c r="J15" s="48"/>
      <c r="K15" s="65"/>
    </row>
    <row r="16" spans="1:16" ht="12.75" x14ac:dyDescent="0.2">
      <c r="A16" s="45"/>
      <c r="B16" s="46"/>
      <c r="C16" s="46"/>
      <c r="D16" s="46"/>
      <c r="E16" s="46"/>
      <c r="F16" s="45"/>
      <c r="G16" s="46"/>
      <c r="H16" s="46"/>
      <c r="I16" s="47"/>
      <c r="J16" s="48"/>
      <c r="K16" s="65"/>
    </row>
    <row r="17" spans="1:11" ht="12.75" x14ac:dyDescent="0.2">
      <c r="A17" s="45"/>
      <c r="B17" s="46"/>
      <c r="C17" s="46"/>
      <c r="D17" s="46"/>
      <c r="E17" s="46"/>
      <c r="F17" s="45"/>
      <c r="G17" s="46"/>
      <c r="H17" s="46"/>
      <c r="I17" s="47"/>
      <c r="J17" s="48"/>
      <c r="K17" s="65"/>
    </row>
    <row r="18" spans="1:11" ht="12.75" x14ac:dyDescent="0.2">
      <c r="A18" s="45"/>
      <c r="B18" s="46"/>
      <c r="C18" s="46"/>
      <c r="D18" s="46"/>
      <c r="E18" s="46"/>
      <c r="F18" s="45"/>
      <c r="G18" s="46"/>
      <c r="H18" s="46"/>
      <c r="I18" s="47"/>
      <c r="J18" s="48"/>
      <c r="K18" s="65"/>
    </row>
    <row r="19" spans="1:11" ht="12.75" x14ac:dyDescent="0.2">
      <c r="A19" s="45"/>
      <c r="B19" s="46"/>
      <c r="C19" s="46"/>
      <c r="D19" s="46"/>
      <c r="E19" s="46"/>
      <c r="F19" s="45"/>
      <c r="G19" s="46"/>
      <c r="H19" s="46"/>
      <c r="I19" s="47"/>
      <c r="J19" s="48"/>
      <c r="K19" s="65"/>
    </row>
    <row r="20" spans="1:11" ht="12.75" x14ac:dyDescent="0.2">
      <c r="A20" s="45"/>
      <c r="B20" s="46"/>
      <c r="C20" s="46"/>
      <c r="D20" s="46"/>
      <c r="E20" s="46"/>
      <c r="F20" s="45"/>
      <c r="G20" s="46"/>
      <c r="H20" s="46"/>
      <c r="I20" s="47"/>
      <c r="J20" s="48"/>
      <c r="K20" s="65"/>
    </row>
    <row r="21" spans="1:11" ht="12.75" x14ac:dyDescent="0.2">
      <c r="A21" s="45"/>
      <c r="B21" s="46"/>
      <c r="C21" s="46"/>
      <c r="D21" s="46"/>
      <c r="E21" s="46"/>
      <c r="F21" s="45"/>
      <c r="G21" s="46"/>
      <c r="H21" s="46"/>
      <c r="I21" s="47"/>
      <c r="J21" s="48"/>
    </row>
    <row r="22" spans="1:11" ht="12.75" x14ac:dyDescent="0.2">
      <c r="A22" s="45"/>
      <c r="B22" s="46"/>
      <c r="C22" s="46"/>
      <c r="D22" s="46"/>
      <c r="E22" s="46"/>
      <c r="F22" s="45"/>
      <c r="G22" s="46"/>
      <c r="H22" s="46"/>
      <c r="I22" s="47"/>
      <c r="J22" s="48"/>
    </row>
    <row r="23" spans="1:11" ht="12.75" x14ac:dyDescent="0.2">
      <c r="A23" s="45"/>
      <c r="B23" s="46"/>
      <c r="C23" s="46"/>
      <c r="D23" s="46"/>
      <c r="E23" s="46"/>
      <c r="F23" s="45"/>
      <c r="G23" s="46"/>
      <c r="H23" s="46"/>
      <c r="I23" s="47"/>
      <c r="J23" s="48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9F6243F-59B0-45CB-B831-0797074E22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Nomina2</vt:lpstr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TÍO DANI</cp:lastModifiedBy>
  <cp:lastPrinted>2025-06-17T08:39:25Z</cp:lastPrinted>
  <dcterms:modified xsi:type="dcterms:W3CDTF">2025-06-17T09:12:34Z</dcterms:modified>
</cp:coreProperties>
</file>